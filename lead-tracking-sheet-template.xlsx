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fb907bd04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Tracker" sheetId="1" r:id="Re17e16d9eabe4b18"/>
    <x:sheet xmlns:r="http://schemas.openxmlformats.org/officeDocument/2006/relationships" name="Content Pipeline" sheetId="2" r:id="R2716d69c7be14178"/>
    <x:sheet xmlns:r="http://schemas.openxmlformats.org/officeDocument/2006/relationships" name="Lists" sheetId="3" r:id="R51ab88ab49ba4521"/>
    <x:sheet xmlns:r="http://schemas.openxmlformats.org/officeDocument/2006/relationships" name="Dashboard" sheetId="4" r:id="R7a6d56f5d0d6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6324F"/>
      </x:patternFill>
    </x:fill>
    <x:fill>
      <x:patternFill patternType="solid">
        <x:fgColor rgb="1D4E89"/>
      </x:patternFill>
    </x:fill>
    <x:fill>
      <x:patternFill patternType="solid">
        <x:fgColor rgb="EAF3FF"/>
      </x:patternFill>
    </x:fill>
  </x:fills>
  <x:borders count="2">
    <x:border/>
    <x:border>
      <x:left style="thin">
        <x:color rgb="D9E1E8"/>
      </x:left>
      <x:right style="thin">
        <x:color rgb="D9E1E8"/>
      </x:right>
      <x:top style="thin">
        <x:color rgb="D9E1E8"/>
      </x:top>
      <x:bottom style="thin">
        <x:color rgb="D9E1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1F2937"/>
      </x:font>
      <x:fill>
        <x:patternFill patternType="solid">
          <x:bgColor rgb="FDE68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78e40d23642e7" /><Relationship Type="http://schemas.openxmlformats.org/officeDocument/2006/relationships/theme" Target="/xl/theme/theme1.xml" Id="Rfda6a4657416426d" /><Relationship Type="http://schemas.openxmlformats.org/officeDocument/2006/relationships/sharedStrings" Target="/xl/sharedStrings.xml" Id="Ref76c3deac8348a4" /><Relationship Type="http://schemas.openxmlformats.org/officeDocument/2006/relationships/worksheet" Target="/xl/worksheets/sheet1.xml" Id="Re17e16d9eabe4b18" /><Relationship Type="http://schemas.openxmlformats.org/officeDocument/2006/relationships/worksheet" Target="/xl/worksheets/sheet2.xml" Id="R2716d69c7be14178" /><Relationship Type="http://schemas.openxmlformats.org/officeDocument/2006/relationships/worksheet" Target="/xl/worksheets/sheet3.xml" Id="R51ab88ab49ba4521" /><Relationship Type="http://schemas.openxmlformats.org/officeDocument/2006/relationships/worksheet" Target="/xl/worksheets/sheet4.xml" Id="R7a6d56f5d0d641d5" /></Relationships>
</file>

<file path=xl/tables/table1.xml><?xml version="1.0" encoding="utf-8"?>
<x:table xmlns:x="http://schemas.openxmlformats.org/spreadsheetml/2006/main" id="1" name="Table1" displayName="Table1" ref="A1:R101" headerRowCount="1">
  <x:tableColumns count="18">
    <x:tableColumn id="1" name="Date Added"/>
    <x:tableColumn id="2" name="Name"/>
    <x:tableColumn id="3" name="Company"/>
    <x:tableColumn id="4" name="Role"/>
    <x:tableColumn id="5" name="LinkedIn URL"/>
    <x:tableColumn id="6" name="Source"/>
    <x:tableColumn id="7" name="Offer Interest"/>
    <x:tableColumn id="8" name="Relationship Stage"/>
    <x:tableColumn id="9" name="Priority"/>
    <x:tableColumn id="10" name="Status"/>
    <x:tableColumn id="11" name="Last Contacted"/>
    <x:tableColumn id="12" name="Next Follow Up"/>
    <x:tableColumn id="13" name="Notes"/>
    <x:tableColumn id="14" name="Deal Value"/>
    <x:tableColumn id="15" name="Lead Score"/>
    <x:tableColumn id="16" name="Days Since Last Contact"/>
    <x:tableColumn id="17" name="Days Until Follow Up"/>
    <x:tableColumn id="18" name="Follow Up Needed?"/>
  </x:tableColumns>
  <x:tableStyleInfo name="TableStyleMedium2" showRowStripes="1"/>
</x:table>
</file>

<file path=xl/tables/table2.xml><?xml version="1.0" encoding="utf-8"?>
<x:table xmlns:x="http://schemas.openxmlformats.org/spreadsheetml/2006/main" id="1" name="Table1" displayName="Table1" ref="A1:L101" headerRowCount="1">
  <x:tableColumns count="12">
    <x:tableColumn id="1" name="Week"/>
    <x:tableColumn id="2" name="Theme"/>
    <x:tableColumn id="3" name="Audience"/>
    <x:tableColumn id="4" name="Hook"/>
    <x:tableColumn id="5" name="Post Angle"/>
    <x:tableColumn id="6" name="CTA"/>
    <x:tableColumn id="7" name="Format"/>
    <x:tableColumn id="8" name="Content Status"/>
    <x:tableColumn id="9" name="Owner"/>
    <x:tableColumn id="10" name="Publish Date"/>
    <x:tableColumn id="11" name="Repurpose Asset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33be2bfc4249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865c92e49948c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6" hidden="0" customWidth="1"/>
  </x:cols>
  <x:sheetData>
    <x:row r="1" ht="34.1796875" hidden="0" customHeight="1">
      <x:c r="A1" s="10" t="str">
        <x:v>Date Added</x:v>
      </x:c>
      <x:c r="B1" s="9" t="str">
        <x:v>Name</x:v>
      </x:c>
      <x:c r="C1" s="9" t="str">
        <x:v>Company</x:v>
      </x:c>
      <x:c r="D1" s="9" t="str">
        <x:v>Role</x:v>
      </x:c>
      <x:c r="E1" s="9" t="str">
        <x:v>LinkedIn URL</x:v>
      </x:c>
      <x:c r="F1" s="9" t="str">
        <x:v>Source</x:v>
      </x:c>
      <x:c r="G1" s="9" t="str">
        <x:v>Offer Interest</x:v>
      </x:c>
      <x:c r="H1" s="9" t="str">
        <x:v>Relationship Stage</x:v>
      </x:c>
      <x:c r="I1" s="9" t="str">
        <x:v>Priority</x:v>
      </x:c>
      <x:c r="J1" s="9" t="str">
        <x:v>Status</x:v>
      </x:c>
      <x:c r="K1" s="10" t="str">
        <x:v>Last Contacted</x:v>
      </x:c>
      <x:c r="L1" s="10" t="str">
        <x:v>Next Follow Up</x:v>
      </x:c>
      <x:c r="M1" s="9" t="str">
        <x:v>Notes</x:v>
      </x:c>
      <x:c r="N1" s="11" t="str">
        <x:v>Deal Value</x:v>
      </x:c>
      <x:c r="O1" s="12" t="str">
        <x:v>Lead Score</x:v>
      </x:c>
      <x:c r="P1" s="12" t="str">
        <x:v>Days Since Last Contact</x:v>
      </x:c>
      <x:c r="Q1" s="12" t="str">
        <x:v>Days Until Follow Up</x:v>
      </x:c>
      <x:c r="R1" s="9" t="str">
        <x:v>Follow Up Needed?</x:v>
      </x:c>
    </x:row>
    <x:row r="2" ht="34.1796875" hidden="0" customHeight="1">
      <x:c r="A2" s="29" t="n">
        <x:v>46113</x:v>
      </x:c>
      <x:c r="B2" s="5" t="str">
        <x:v>Riya Sharma</x:v>
      </x:c>
      <x:c r="C2" s="5" t="str">
        <x:v>Nova Growth</x:v>
      </x:c>
      <x:c r="D2" s="5" t="str">
        <x:v>Founder</x:v>
      </x:c>
      <x:c r="E2" s="5" t="str">
        <x:v>https://linkedin.com/in/riya-sharma</x:v>
      </x:c>
      <x:c r="F2" s="5" t="str">
        <x:v>Post Comment</x:v>
      </x:c>
      <x:c r="G2" s="5" t="str">
        <x:v>Consultation</x:v>
      </x:c>
      <x:c r="H2" s="5" t="str">
        <x:v>Conversation</x:v>
      </x:c>
      <x:c r="I2" s="5" t="str">
        <x:v>High</x:v>
      </x:c>
      <x:c r="J2" s="5" t="str">
        <x:v>Qualified</x:v>
      </x:c>
      <x:c r="K2" s="29" t="n">
        <x:v>46115</x:v>
      </x:c>
      <x:c r="L2" s="29" t="n">
        <x:v>46119</x:v>
      </x:c>
      <x:c r="M2" s="13" t="str">
        <x:v>Asked for help with positioning</x:v>
      </x:c>
      <x:c r="N2" s="5" t="n">
        <x:v>2500</x:v>
      </x:c>
      <x:c r="O2" s="5" t="n">
        <x:v>13</x:v>
      </x:c>
      <x:c r="P2" s="5" t="n">
        <x:f>IF(B2="","",IF(K2="","",TODAY()-K2))</x:f>
        <x:v>2</x:v>
      </x:c>
      <x:c r="Q2" s="5" t="n">
        <x:f>IF(B2="","",IF(L2="","",L2-TODAY()))</x:f>
        <x:v>2</x:v>
      </x:c>
      <x:c r="R2" s="5" t="str">
        <x:f>IF(B2="","",IF(OR(L2="",J2="Won",J2="Lost"),"No",IF(L2&lt;=TODAY(),"Yes","No")))</x:f>
        <x:v>No</x:v>
      </x:c>
    </x:row>
    <x:row r="3" ht="17.08984375" hidden="0" customHeight="1">
      <x:c r="A3" s="29" t="n">
        <x:v>46110</x:v>
      </x:c>
      <x:c r="B3" s="5" t="str">
        <x:v>Aman Verma</x:v>
      </x:c>
      <x:c r="C3" s="5" t="str">
        <x:v>Scale Craft</x:v>
      </x:c>
      <x:c r="D3" s="5" t="str">
        <x:v>Marketing Lead</x:v>
      </x:c>
      <x:c r="E3" s="5" t="str">
        <x:v>https://linkedin.com/in/aman-verma</x:v>
      </x:c>
      <x:c r="F3" s="5" t="str">
        <x:v>DM</x:v>
      </x:c>
      <x:c r="G3" s="5" t="str">
        <x:v>Profile Audit</x:v>
      </x:c>
      <x:c r="H3" s="5" t="str">
        <x:v>Connected</x:v>
      </x:c>
      <x:c r="I3" s="5" t="str">
        <x:v>Medium</x:v>
      </x:c>
      <x:c r="J3" s="5" t="str">
        <x:v>Contacted</x:v>
      </x:c>
      <x:c r="K3" s="29" t="n">
        <x:v>46114</x:v>
      </x:c>
      <x:c r="L3" s="29" t="n">
        <x:v>46120</x:v>
      </x:c>
      <x:c r="M3" s="13" t="str">
        <x:v>Needs profile rewrite</x:v>
      </x:c>
      <x:c r="N3" s="5" t="n">
        <x:v>650</x:v>
      </x:c>
      <x:c r="O3" s="5" t="n">
        <x:v>10</x:v>
      </x:c>
      <x:c r="P3" s="5" t="n">
        <x:f>IF(B3="","",IF(K3="","",TODAY()-K3))</x:f>
        <x:v>3</x:v>
      </x:c>
      <x:c r="Q3" s="5" t="n">
        <x:f>IF(B3="","",IF(L3="","",L3-TODAY()))</x:f>
        <x:v>3</x:v>
      </x:c>
      <x:c r="R3" s="5" t="str">
        <x:f>IF(B3="","",IF(OR(L3="",J3="Won",J3="Lost"),"No",IF(L3&lt;=TODAY(),"Yes","No")))</x:f>
        <x:v>No</x:v>
      </x:c>
    </x:row>
    <x:row r="4" ht="34.1796875" hidden="0" customHeight="1">
      <x:c r="A4" s="29" t="n">
        <x:v>46106</x:v>
      </x:c>
      <x:c r="B4" s="5" t="str">
        <x:v>Sneha Joshi</x:v>
      </x:c>
      <x:c r="C4" s="5" t="str">
        <x:v>Brightlane</x:v>
      </x:c>
      <x:c r="D4" s="5" t="str">
        <x:v>Consultant</x:v>
      </x:c>
      <x:c r="E4" s="5" t="str">
        <x:v>https://linkedin.com/in/sneha-joshi</x:v>
      </x:c>
      <x:c r="F4" s="5" t="str">
        <x:v>Inbound Form</x:v>
      </x:c>
      <x:c r="G4" s="5" t="str">
        <x:v>Workshop</x:v>
      </x:c>
      <x:c r="H4" s="5" t="str">
        <x:v>Discovery Call</x:v>
      </x:c>
      <x:c r="I4" s="5" t="str">
        <x:v>High</x:v>
      </x:c>
      <x:c r="J4" s="5" t="str">
        <x:v>Proposal Sent</x:v>
      </x:c>
      <x:c r="K4" s="29" t="n">
        <x:v>46116</x:v>
      </x:c>
      <x:c r="L4" s="29" t="n">
        <x:v>46118</x:v>
      </x:c>
      <x:c r="M4" s="13" t="str">
        <x:v>Requested workshop scope</x:v>
      </x:c>
      <x:c r="N4" s="5" t="n">
        <x:v>1800</x:v>
      </x:c>
      <x:c r="O4" s="5" t="n">
        <x:v>14</x:v>
      </x:c>
      <x:c r="P4" s="5" t="n">
        <x:f>IF(B4="","",IF(K4="","",TODAY()-K4))</x:f>
        <x:v>1</x:v>
      </x:c>
      <x:c r="Q4" s="5" t="n">
        <x:f>IF(B4="","",IF(L4="","",L4-TODAY()))</x:f>
        <x:v>1</x:v>
      </x:c>
      <x:c r="R4" s="5" t="str">
        <x:f>IF(B4="","",IF(OR(L4="",J4="Won",J4="Lost"),"No",IF(L4&lt;=TODAY(),"Yes","No")))</x:f>
        <x:v>No</x:v>
      </x:c>
    </x:row>
    <x:row r="5" ht="34.1796875" hidden="0" customHeight="1">
      <x:c r="A5" s="29" t="n">
        <x:v>46101</x:v>
      </x:c>
      <x:c r="B5" s="5" t="str">
        <x:v>Kabir Rai</x:v>
      </x:c>
      <x:c r="C5" s="5" t="str">
        <x:v>Orbit Studio</x:v>
      </x:c>
      <x:c r="D5" s="5" t="str">
        <x:v>Creative Director</x:v>
      </x:c>
      <x:c r="E5" s="5" t="str">
        <x:v>https://linkedin.com/in/kabir-rai</x:v>
      </x:c>
      <x:c r="F5" s="5" t="str">
        <x:v>Referral</x:v>
      </x:c>
      <x:c r="G5" s="5" t="str">
        <x:v>Retainer</x:v>
      </x:c>
      <x:c r="H5" s="5" t="str">
        <x:v>Negotiation</x:v>
      </x:c>
      <x:c r="I5" s="5" t="str">
        <x:v>High</x:v>
      </x:c>
      <x:c r="J5" s="5" t="str">
        <x:v>Nurture</x:v>
      </x:c>
      <x:c r="K5" s="29" t="n">
        <x:v>46111</x:v>
      </x:c>
      <x:c r="L5" s="29" t="n">
        <x:v>46117</x:v>
      </x:c>
      <x:c r="M5" s="13" t="str">
        <x:v>Warm referral from existing client</x:v>
      </x:c>
      <x:c r="N5" s="5" t="n">
        <x:v>4000</x:v>
      </x:c>
      <x:c r="O5" s="5" t="n">
        <x:v>15</x:v>
      </x:c>
      <x:c r="P5" s="5" t="n">
        <x:f>IF(B5="","",IF(K5="","",TODAY()-K5))</x:f>
        <x:v>6</x:v>
      </x:c>
      <x:c r="Q5" s="5" t="n">
        <x:f>IF(B5="","",IF(L5="","",L5-TODAY()))</x:f>
        <x:v>0</x:v>
      </x:c>
      <x:c r="R5" s="5" t="str">
        <x:f>IF(B5="","",IF(OR(L5="",J5="Won",J5="Lost"),"No",IF(L5&lt;=TODAY(),"Yes","No")))</x:f>
        <x:v>Yes</x:v>
      </x:c>
    </x:row>
    <x:row r="6" ht="34.1796875" hidden="0" customHeight="1">
      <x:c r="A6" s="29" t="n">
        <x:v>46099</x:v>
      </x:c>
      <x:c r="B6" s="5" t="str">
        <x:v>Mina Thapa</x:v>
      </x:c>
      <x:c r="C6" s="5" t="str">
        <x:v>Indigo Talent</x:v>
      </x:c>
      <x:c r="D6" s="5" t="str">
        <x:v>HR Partner</x:v>
      </x:c>
      <x:c r="E6" s="5" t="str">
        <x:v>https://linkedin.com/in/mina-thapa</x:v>
      </x:c>
      <x:c r="F6" s="5" t="str">
        <x:v>Website</x:v>
      </x:c>
      <x:c r="G6" s="5" t="str">
        <x:v>Checklist</x:v>
      </x:c>
      <x:c r="H6" s="5" t="str">
        <x:v>New</x:v>
      </x:c>
      <x:c r="I6" s="5" t="str">
        <x:v>Low</x:v>
      </x:c>
      <x:c r="J6" s="5" t="str">
        <x:v>New</x:v>
      </x:c>
      <x:c r="K6" s="29" t="str"/>
      <x:c r="L6" s="29" t="n">
        <x:v>46121</x:v>
      </x:c>
      <x:c r="M6" s="13" t="str">
        <x:v>Downloaded checklist from site</x:v>
      </x:c>
      <x:c r="N6" s="5" t="n">
        <x:v>300</x:v>
      </x:c>
      <x:c r="O6" s="5" t="n">
        <x:v>7</x:v>
      </x:c>
      <x:c r="P6" s="5" t="str">
        <x:f>IF(B6="","",IF(K6="","",TODAY()-K6))</x:f>
      </x:c>
      <x:c r="Q6" s="5" t="n">
        <x:f>IF(B6="","",IF(L6="","",L6-TODAY()))</x:f>
        <x:v>4</x:v>
      </x:c>
      <x:c r="R6" s="5" t="str">
        <x:f>IF(B6="","",IF(OR(L6="",J6="Won",J6="Lost"),"No",IF(L6&lt;=TODAY(),"Yes","No")))</x:f>
        <x:v>No</x:v>
      </x:c>
    </x:row>
    <x:row r="7" ht="18" customHeight="1">
      <x:c r="A7" s="29"/>
      <x:c r="B7" s="5"/>
      <x:c r="C7" s="5"/>
      <x:c r="D7" s="5"/>
      <x:c r="E7" s="5"/>
      <x:c r="F7" s="5"/>
      <x:c r="G7" s="5"/>
      <x:c r="H7" s="5"/>
      <x:c r="I7" s="5"/>
      <x:c r="J7" s="5"/>
      <x:c r="K7" s="29"/>
      <x:c r="L7" s="29"/>
      <x:c r="M7" s="13"/>
      <x:c r="N7" s="5"/>
      <x:c r="O7" s="5"/>
      <x:c r="P7" s="5" t="str">
        <x:f>IF(B7="","",IF(K7="","",TODAY()-K7))</x:f>
      </x:c>
      <x:c r="Q7" s="5" t="str">
        <x:f>IF(B7="","",IF(L7="","",L7-TODAY()))</x:f>
      </x:c>
      <x:c r="R7" s="5" t="str">
        <x:f>IF(B7="","",IF(OR(L7="",J7="Won",J7="Lost"),"No",IF(L7&lt;=TODAY(),"Yes","No")))</x:f>
      </x:c>
    </x:row>
    <x:row r="8" ht="18" customHeight="1">
      <x:c r="A8" s="29"/>
      <x:c r="B8" s="5"/>
      <x:c r="C8" s="5"/>
      <x:c r="D8" s="5"/>
      <x:c r="E8" s="5"/>
      <x:c r="F8" s="5"/>
      <x:c r="G8" s="5"/>
      <x:c r="H8" s="5"/>
      <x:c r="I8" s="5"/>
      <x:c r="J8" s="5"/>
      <x:c r="K8" s="29"/>
      <x:c r="L8" s="29"/>
      <x:c r="M8" s="13"/>
      <x:c r="N8" s="5"/>
      <x:c r="O8" s="5"/>
      <x:c r="P8" s="5" t="str">
        <x:f>IF(B8="","",IF(K8="","",TODAY()-K8))</x:f>
      </x:c>
      <x:c r="Q8" s="5" t="str">
        <x:f>IF(B8="","",IF(L8="","",L8-TODAY()))</x:f>
      </x:c>
      <x:c r="R8" s="5" t="str">
        <x:f>IF(B8="","",IF(OR(L8="",J8="Won",J8="Lost"),"No",IF(L8&lt;=TODAY(),"Yes","No")))</x:f>
      </x:c>
    </x:row>
    <x:row r="9" ht="18" customHeight="1">
      <x:c r="A9" s="29"/>
      <x:c r="B9" s="5"/>
      <x:c r="C9" s="5"/>
      <x:c r="D9" s="5"/>
      <x:c r="E9" s="5"/>
      <x:c r="F9" s="5"/>
      <x:c r="G9" s="5"/>
      <x:c r="H9" s="5"/>
      <x:c r="I9" s="5"/>
      <x:c r="J9" s="5"/>
      <x:c r="K9" s="29"/>
      <x:c r="L9" s="29"/>
      <x:c r="M9" s="13"/>
      <x:c r="N9" s="5"/>
      <x:c r="O9" s="5"/>
      <x:c r="P9" s="5" t="str">
        <x:f>IF(B9="","",IF(K9="","",TODAY()-K9))</x:f>
      </x:c>
      <x:c r="Q9" s="5" t="str">
        <x:f>IF(B9="","",IF(L9="","",L9-TODAY()))</x:f>
      </x:c>
      <x:c r="R9" s="5" t="str">
        <x:f>IF(B9="","",IF(OR(L9="",J9="Won",J9="Lost"),"No",IF(L9&lt;=TODAY(),"Yes","No")))</x:f>
      </x:c>
    </x:row>
    <x:row r="10" ht="18" customHeight="1">
      <x:c r="A10" s="29"/>
      <x:c r="B10" s="5"/>
      <x:c r="C10" s="5"/>
      <x:c r="D10" s="5"/>
      <x:c r="E10" s="5"/>
      <x:c r="F10" s="5"/>
      <x:c r="G10" s="5"/>
      <x:c r="H10" s="5"/>
      <x:c r="I10" s="5"/>
      <x:c r="J10" s="5"/>
      <x:c r="K10" s="29"/>
      <x:c r="L10" s="29"/>
      <x:c r="M10" s="13"/>
      <x:c r="N10" s="5"/>
      <x:c r="O10" s="5"/>
      <x:c r="P10" s="5" t="str">
        <x:f>IF(B10="","",IF(K10="","",TODAY()-K10))</x:f>
      </x:c>
      <x:c r="Q10" s="5" t="str">
        <x:f>IF(B10="","",IF(L10="","",L10-TODAY()))</x:f>
      </x:c>
      <x:c r="R10" s="5" t="str">
        <x:f>IF(B10="","",IF(OR(L10="",J10="Won",J10="Lost"),"No",IF(L10&lt;=TODAY(),"Yes","No")))</x:f>
      </x:c>
    </x:row>
    <x:row r="11" ht="18" customHeight="1">
      <x:c r="A11" s="29"/>
      <x:c r="B11" s="5"/>
      <x:c r="C11" s="5"/>
      <x:c r="D11" s="5"/>
      <x:c r="E11" s="5"/>
      <x:c r="F11" s="5"/>
      <x:c r="G11" s="5"/>
      <x:c r="H11" s="5"/>
      <x:c r="I11" s="5"/>
      <x:c r="J11" s="5"/>
      <x:c r="K11" s="29"/>
      <x:c r="L11" s="29"/>
      <x:c r="M11" s="13"/>
      <x:c r="N11" s="5"/>
      <x:c r="O11" s="5"/>
      <x:c r="P11" s="5" t="str">
        <x:f>IF(B11="","",IF(K11="","",TODAY()-K11))</x:f>
      </x:c>
      <x:c r="Q11" s="5" t="str">
        <x:f>IF(B11="","",IF(L11="","",L11-TODAY()))</x:f>
      </x:c>
      <x:c r="R11" s="5" t="str">
        <x:f>IF(B11="","",IF(OR(L11="",J11="Won",J11="Lost"),"No",IF(L11&lt;=TODAY(),"Yes","No")))</x:f>
      </x:c>
    </x:row>
    <x:row r="12" ht="18" customHeight="1">
      <x:c r="A12" s="29"/>
      <x:c r="B12" s="5"/>
      <x:c r="C12" s="5"/>
      <x:c r="D12" s="5"/>
      <x:c r="E12" s="5"/>
      <x:c r="F12" s="5"/>
      <x:c r="G12" s="5"/>
      <x:c r="H12" s="5"/>
      <x:c r="I12" s="5"/>
      <x:c r="J12" s="5"/>
      <x:c r="K12" s="29"/>
      <x:c r="L12" s="29"/>
      <x:c r="M12" s="13"/>
      <x:c r="N12" s="5"/>
      <x:c r="O12" s="5"/>
      <x:c r="P12" s="5" t="str">
        <x:f>IF(B12="","",IF(K12="","",TODAY()-K12))</x:f>
      </x:c>
      <x:c r="Q12" s="5" t="str">
        <x:f>IF(B12="","",IF(L12="","",L12-TODAY()))</x:f>
      </x:c>
      <x:c r="R12" s="5" t="str">
        <x:f>IF(B12="","",IF(OR(L12="",J12="Won",J12="Lost"),"No",IF(L12&lt;=TODAY(),"Yes","No")))</x:f>
      </x:c>
    </x:row>
    <x:row r="13" ht="18" customHeight="1">
      <x:c r="A13" s="29"/>
      <x:c r="B13" s="5"/>
      <x:c r="C13" s="5"/>
      <x:c r="D13" s="5"/>
      <x:c r="E13" s="5"/>
      <x:c r="F13" s="5"/>
      <x:c r="G13" s="5"/>
      <x:c r="H13" s="5"/>
      <x:c r="I13" s="5"/>
      <x:c r="J13" s="5"/>
      <x:c r="K13" s="29"/>
      <x:c r="L13" s="29"/>
      <x:c r="M13" s="13"/>
      <x:c r="N13" s="5"/>
      <x:c r="O13" s="5"/>
      <x:c r="P13" s="5" t="str">
        <x:f>IF(B13="","",IF(K13="","",TODAY()-K13))</x:f>
      </x:c>
      <x:c r="Q13" s="5" t="str">
        <x:f>IF(B13="","",IF(L13="","",L13-TODAY()))</x:f>
      </x:c>
      <x:c r="R13" s="5" t="str">
        <x:f>IF(B13="","",IF(OR(L13="",J13="Won",J13="Lost"),"No",IF(L13&lt;=TODAY(),"Yes","No")))</x:f>
      </x:c>
    </x:row>
    <x:row r="14" ht="18" customHeight="1">
      <x:c r="A14" s="29"/>
      <x:c r="B14" s="5"/>
      <x:c r="C14" s="5"/>
      <x:c r="D14" s="5"/>
      <x:c r="E14" s="5"/>
      <x:c r="F14" s="5"/>
      <x:c r="G14" s="5"/>
      <x:c r="H14" s="5"/>
      <x:c r="I14" s="5"/>
      <x:c r="J14" s="5"/>
      <x:c r="K14" s="29"/>
      <x:c r="L14" s="29"/>
      <x:c r="M14" s="13"/>
      <x:c r="N14" s="5"/>
      <x:c r="O14" s="5"/>
      <x:c r="P14" s="5" t="str">
        <x:f>IF(B14="","",IF(K14="","",TODAY()-K14))</x:f>
      </x:c>
      <x:c r="Q14" s="5" t="str">
        <x:f>IF(B14="","",IF(L14="","",L14-TODAY()))</x:f>
      </x:c>
      <x:c r="R14" s="5" t="str">
        <x:f>IF(B14="","",IF(OR(L14="",J14="Won",J14="Lost"),"No",IF(L14&lt;=TODAY(),"Yes","No")))</x:f>
      </x:c>
    </x:row>
    <x:row r="15" ht="18" customHeight="1">
      <x:c r="A15" s="29"/>
      <x:c r="B15" s="5"/>
      <x:c r="C15" s="5"/>
      <x:c r="D15" s="5"/>
      <x:c r="E15" s="5"/>
      <x:c r="F15" s="5"/>
      <x:c r="G15" s="5"/>
      <x:c r="H15" s="5"/>
      <x:c r="I15" s="5"/>
      <x:c r="J15" s="5"/>
      <x:c r="K15" s="29"/>
      <x:c r="L15" s="29"/>
      <x:c r="M15" s="13"/>
      <x:c r="N15" s="5"/>
      <x:c r="O15" s="5"/>
      <x:c r="P15" s="5" t="str">
        <x:f>IF(B15="","",IF(K15="","",TODAY()-K15))</x:f>
      </x:c>
      <x:c r="Q15" s="5" t="str">
        <x:f>IF(B15="","",IF(L15="","",L15-TODAY()))</x:f>
      </x:c>
      <x:c r="R15" s="5" t="str">
        <x:f>IF(B15="","",IF(OR(L15="",J15="Won",J15="Lost"),"No",IF(L15&lt;=TODAY(),"Yes","No")))</x:f>
      </x:c>
    </x:row>
    <x:row r="16" ht="18" customHeight="1">
      <x:c r="A16" s="29"/>
      <x:c r="B16" s="5"/>
      <x:c r="C16" s="5"/>
      <x:c r="D16" s="5"/>
      <x:c r="E16" s="5"/>
      <x:c r="F16" s="5"/>
      <x:c r="G16" s="5"/>
      <x:c r="H16" s="5"/>
      <x:c r="I16" s="5"/>
      <x:c r="J16" s="5"/>
      <x:c r="K16" s="29"/>
      <x:c r="L16" s="29"/>
      <x:c r="M16" s="13"/>
      <x:c r="N16" s="5"/>
      <x:c r="O16" s="5"/>
      <x:c r="P16" s="5" t="str">
        <x:f>IF(B16="","",IF(K16="","",TODAY()-K16))</x:f>
      </x:c>
      <x:c r="Q16" s="5" t="str">
        <x:f>IF(B16="","",IF(L16="","",L16-TODAY()))</x:f>
      </x:c>
      <x:c r="R16" s="5" t="str">
        <x:f>IF(B16="","",IF(OR(L16="",J16="Won",J16="Lost"),"No",IF(L16&lt;=TODAY(),"Yes","No")))</x:f>
      </x:c>
    </x:row>
    <x:row r="17" ht="18" customHeight="1">
      <x:c r="A17" s="29"/>
      <x:c r="B17" s="5"/>
      <x:c r="C17" s="5"/>
      <x:c r="D17" s="5"/>
      <x:c r="E17" s="5"/>
      <x:c r="F17" s="5"/>
      <x:c r="G17" s="5"/>
      <x:c r="H17" s="5"/>
      <x:c r="I17" s="5"/>
      <x:c r="J17" s="5"/>
      <x:c r="K17" s="29"/>
      <x:c r="L17" s="29"/>
      <x:c r="M17" s="13"/>
      <x:c r="N17" s="5"/>
      <x:c r="O17" s="5"/>
      <x:c r="P17" s="5" t="str">
        <x:f>IF(B17="","",IF(K17="","",TODAY()-K17))</x:f>
      </x:c>
      <x:c r="Q17" s="5" t="str">
        <x:f>IF(B17="","",IF(L17="","",L17-TODAY()))</x:f>
      </x:c>
      <x:c r="R17" s="5" t="str">
        <x:f>IF(B17="","",IF(OR(L17="",J17="Won",J17="Lost"),"No",IF(L17&lt;=TODAY(),"Yes","No")))</x:f>
      </x:c>
    </x:row>
    <x:row r="18" ht="18" customHeight="1">
      <x:c r="A18" s="29"/>
      <x:c r="B18" s="5"/>
      <x:c r="C18" s="5"/>
      <x:c r="D18" s="5"/>
      <x:c r="E18" s="5"/>
      <x:c r="F18" s="5"/>
      <x:c r="G18" s="5"/>
      <x:c r="H18" s="5"/>
      <x:c r="I18" s="5"/>
      <x:c r="J18" s="5"/>
      <x:c r="K18" s="29"/>
      <x:c r="L18" s="29"/>
      <x:c r="M18" s="13"/>
      <x:c r="N18" s="5"/>
      <x:c r="O18" s="5"/>
      <x:c r="P18" s="5" t="str">
        <x:f>IF(B18="","",IF(K18="","",TODAY()-K18))</x:f>
      </x:c>
      <x:c r="Q18" s="5" t="str">
        <x:f>IF(B18="","",IF(L18="","",L18-TODAY()))</x:f>
      </x:c>
      <x:c r="R18" s="5" t="str">
        <x:f>IF(B18="","",IF(OR(L18="",J18="Won",J18="Lost"),"No",IF(L18&lt;=TODAY(),"Yes","No")))</x:f>
      </x:c>
    </x:row>
    <x:row r="19" ht="18" customHeight="1">
      <x:c r="A19" s="29"/>
      <x:c r="B19" s="5"/>
      <x:c r="C19" s="5"/>
      <x:c r="D19" s="5"/>
      <x:c r="E19" s="5"/>
      <x:c r="F19" s="5"/>
      <x:c r="G19" s="5"/>
      <x:c r="H19" s="5"/>
      <x:c r="I19" s="5"/>
      <x:c r="J19" s="5"/>
      <x:c r="K19" s="29"/>
      <x:c r="L19" s="29"/>
      <x:c r="M19" s="13"/>
      <x:c r="N19" s="5"/>
      <x:c r="O19" s="5"/>
      <x:c r="P19" s="5" t="str">
        <x:f>IF(B19="","",IF(K19="","",TODAY()-K19))</x:f>
      </x:c>
      <x:c r="Q19" s="5" t="str">
        <x:f>IF(B19="","",IF(L19="","",L19-TODAY()))</x:f>
      </x:c>
      <x:c r="R19" s="5" t="str">
        <x:f>IF(B19="","",IF(OR(L19="",J19="Won",J19="Lost"),"No",IF(L19&lt;=TODAY(),"Yes","No")))</x:f>
      </x:c>
    </x:row>
    <x:row r="20" ht="18" customHeight="1">
      <x:c r="A20" s="29"/>
      <x:c r="B20" s="5"/>
      <x:c r="C20" s="5"/>
      <x:c r="D20" s="5"/>
      <x:c r="E20" s="5"/>
      <x:c r="F20" s="5"/>
      <x:c r="G20" s="5"/>
      <x:c r="H20" s="5"/>
      <x:c r="I20" s="5"/>
      <x:c r="J20" s="5"/>
      <x:c r="K20" s="29"/>
      <x:c r="L20" s="29"/>
      <x:c r="M20" s="13"/>
      <x:c r="N20" s="5"/>
      <x:c r="O20" s="5"/>
      <x:c r="P20" s="5" t="str">
        <x:f>IF(B20="","",IF(K20="","",TODAY()-K20))</x:f>
      </x:c>
      <x:c r="Q20" s="5" t="str">
        <x:f>IF(B20="","",IF(L20="","",L20-TODAY()))</x:f>
      </x:c>
      <x:c r="R20" s="5" t="str">
        <x:f>IF(B20="","",IF(OR(L20="",J20="Won",J20="Lost"),"No",IF(L20&lt;=TODAY(),"Yes","No")))</x:f>
      </x:c>
    </x:row>
    <x:row r="21" ht="18" customHeight="1">
      <x:c r="A21" s="29"/>
      <x:c r="B21" s="5"/>
      <x:c r="C21" s="5"/>
      <x:c r="D21" s="5"/>
      <x:c r="E21" s="5"/>
      <x:c r="F21" s="5"/>
      <x:c r="G21" s="5"/>
      <x:c r="H21" s="5"/>
      <x:c r="I21" s="5"/>
      <x:c r="J21" s="5"/>
      <x:c r="K21" s="29"/>
      <x:c r="L21" s="29"/>
      <x:c r="M21" s="13"/>
      <x:c r="N21" s="5"/>
      <x:c r="O21" s="5"/>
      <x:c r="P21" s="5" t="str">
        <x:f>IF(B21="","",IF(K21="","",TODAY()-K21))</x:f>
      </x:c>
      <x:c r="Q21" s="5" t="str">
        <x:f>IF(B21="","",IF(L21="","",L21-TODAY()))</x:f>
      </x:c>
      <x:c r="R21" s="5" t="str">
        <x:f>IF(B21="","",IF(OR(L21="",J21="Won",J21="Lost"),"No",IF(L21&lt;=TODAY(),"Yes","No")))</x:f>
      </x:c>
    </x:row>
    <x:row r="22" ht="18" customHeight="1">
      <x:c r="A22" s="29"/>
      <x:c r="B22" s="5"/>
      <x:c r="C22" s="5"/>
      <x:c r="D22" s="5"/>
      <x:c r="E22" s="5"/>
      <x:c r="F22" s="5"/>
      <x:c r="G22" s="5"/>
      <x:c r="H22" s="5"/>
      <x:c r="I22" s="5"/>
      <x:c r="J22" s="5"/>
      <x:c r="K22" s="29"/>
      <x:c r="L22" s="29"/>
      <x:c r="M22" s="13"/>
      <x:c r="N22" s="5"/>
      <x:c r="O22" s="5"/>
      <x:c r="P22" s="5" t="str">
        <x:f>IF(B22="","",IF(K22="","",TODAY()-K22))</x:f>
      </x:c>
      <x:c r="Q22" s="5" t="str">
        <x:f>IF(B22="","",IF(L22="","",L22-TODAY()))</x:f>
      </x:c>
      <x:c r="R22" s="5" t="str">
        <x:f>IF(B22="","",IF(OR(L22="",J22="Won",J22="Lost"),"No",IF(L22&lt;=TODAY(),"Yes","No")))</x:f>
      </x:c>
    </x:row>
    <x:row r="23" ht="18" customHeight="1">
      <x:c r="A23" s="29"/>
      <x:c r="B23" s="5"/>
      <x:c r="C23" s="5"/>
      <x:c r="D23" s="5"/>
      <x:c r="E23" s="5"/>
      <x:c r="F23" s="5"/>
      <x:c r="G23" s="5"/>
      <x:c r="H23" s="5"/>
      <x:c r="I23" s="5"/>
      <x:c r="J23" s="5"/>
      <x:c r="K23" s="29"/>
      <x:c r="L23" s="29"/>
      <x:c r="M23" s="13"/>
      <x:c r="N23" s="5"/>
      <x:c r="O23" s="5"/>
      <x:c r="P23" s="5" t="str">
        <x:f>IF(B23="","",IF(K23="","",TODAY()-K23))</x:f>
      </x:c>
      <x:c r="Q23" s="5" t="str">
        <x:f>IF(B23="","",IF(L23="","",L23-TODAY()))</x:f>
      </x:c>
      <x:c r="R23" s="5" t="str">
        <x:f>IF(B23="","",IF(OR(L23="",J23="Won",J23="Lost"),"No",IF(L23&lt;=TODAY(),"Yes","No")))</x:f>
      </x:c>
    </x:row>
    <x:row r="24" ht="18" customHeight="1">
      <x:c r="A24" s="29"/>
      <x:c r="B24" s="5"/>
      <x:c r="C24" s="5"/>
      <x:c r="D24" s="5"/>
      <x:c r="E24" s="5"/>
      <x:c r="F24" s="5"/>
      <x:c r="G24" s="5"/>
      <x:c r="H24" s="5"/>
      <x:c r="I24" s="5"/>
      <x:c r="J24" s="5"/>
      <x:c r="K24" s="29"/>
      <x:c r="L24" s="29"/>
      <x:c r="M24" s="13"/>
      <x:c r="N24" s="5"/>
      <x:c r="O24" s="5"/>
      <x:c r="P24" s="5" t="str">
        <x:f>IF(B24="","",IF(K24="","",TODAY()-K24))</x:f>
      </x:c>
      <x:c r="Q24" s="5" t="str">
        <x:f>IF(B24="","",IF(L24="","",L24-TODAY()))</x:f>
      </x:c>
      <x:c r="R24" s="5" t="str">
        <x:f>IF(B24="","",IF(OR(L24="",J24="Won",J24="Lost"),"No",IF(L24&lt;=TODAY(),"Yes","No")))</x:f>
      </x:c>
    </x:row>
    <x:row r="25" ht="18" customHeight="1">
      <x:c r="A25" s="29"/>
      <x:c r="B25" s="5"/>
      <x:c r="C25" s="5"/>
      <x:c r="D25" s="5"/>
      <x:c r="E25" s="5"/>
      <x:c r="F25" s="5"/>
      <x:c r="G25" s="5"/>
      <x:c r="H25" s="5"/>
      <x:c r="I25" s="5"/>
      <x:c r="J25" s="5"/>
      <x:c r="K25" s="29"/>
      <x:c r="L25" s="29"/>
      <x:c r="M25" s="13"/>
      <x:c r="N25" s="5"/>
      <x:c r="O25" s="5"/>
      <x:c r="P25" s="5" t="str">
        <x:f>IF(B25="","",IF(K25="","",TODAY()-K25))</x:f>
      </x:c>
      <x:c r="Q25" s="5" t="str">
        <x:f>IF(B25="","",IF(L25="","",L25-TODAY()))</x:f>
      </x:c>
      <x:c r="R25" s="5" t="str">
        <x:f>IF(B25="","",IF(OR(L25="",J25="Won",J25="Lost"),"No",IF(L25&lt;=TODAY(),"Yes","No")))</x:f>
      </x:c>
    </x:row>
    <x:row r="26" ht="18" customHeight="1">
      <x:c r="A26" s="29"/>
      <x:c r="B26" s="5"/>
      <x:c r="C26" s="5"/>
      <x:c r="D26" s="5"/>
      <x:c r="E26" s="5"/>
      <x:c r="F26" s="5"/>
      <x:c r="G26" s="5"/>
      <x:c r="H26" s="5"/>
      <x:c r="I26" s="5"/>
      <x:c r="J26" s="5"/>
      <x:c r="K26" s="29"/>
      <x:c r="L26" s="29"/>
      <x:c r="M26" s="13"/>
      <x:c r="N26" s="5"/>
      <x:c r="O26" s="5"/>
      <x:c r="P26" s="5" t="str">
        <x:f>IF(B26="","",IF(K26="","",TODAY()-K26))</x:f>
      </x:c>
      <x:c r="Q26" s="5" t="str">
        <x:f>IF(B26="","",IF(L26="","",L26-TODAY()))</x:f>
      </x:c>
      <x:c r="R26" s="5" t="str">
        <x:f>IF(B26="","",IF(OR(L26="",J26="Won",J26="Lost"),"No",IF(L26&lt;=TODAY(),"Yes","No")))</x:f>
      </x:c>
    </x:row>
    <x:row r="27" ht="18" customHeight="1">
      <x:c r="A27" s="29"/>
      <x:c r="B27" s="5"/>
      <x:c r="C27" s="5"/>
      <x:c r="D27" s="5"/>
      <x:c r="E27" s="5"/>
      <x:c r="F27" s="5"/>
      <x:c r="G27" s="5"/>
      <x:c r="H27" s="5"/>
      <x:c r="I27" s="5"/>
      <x:c r="J27" s="5"/>
      <x:c r="K27" s="29"/>
      <x:c r="L27" s="29"/>
      <x:c r="M27" s="13"/>
      <x:c r="N27" s="5"/>
      <x:c r="O27" s="5"/>
      <x:c r="P27" s="5" t="str">
        <x:f>IF(B27="","",IF(K27="","",TODAY()-K27))</x:f>
      </x:c>
      <x:c r="Q27" s="5" t="str">
        <x:f>IF(B27="","",IF(L27="","",L27-TODAY()))</x:f>
      </x:c>
      <x:c r="R27" s="5" t="str">
        <x:f>IF(B27="","",IF(OR(L27="",J27="Won",J27="Lost"),"No",IF(L27&lt;=TODAY(),"Yes","No")))</x:f>
      </x:c>
    </x:row>
    <x:row r="28" ht="18" customHeight="1">
      <x:c r="A28" s="29"/>
      <x:c r="B28" s="5"/>
      <x:c r="C28" s="5"/>
      <x:c r="D28" s="5"/>
      <x:c r="E28" s="5"/>
      <x:c r="F28" s="5"/>
      <x:c r="G28" s="5"/>
      <x:c r="H28" s="5"/>
      <x:c r="I28" s="5"/>
      <x:c r="J28" s="5"/>
      <x:c r="K28" s="29"/>
      <x:c r="L28" s="29"/>
      <x:c r="M28" s="13"/>
      <x:c r="N28" s="5"/>
      <x:c r="O28" s="5"/>
      <x:c r="P28" s="5" t="str">
        <x:f>IF(B28="","",IF(K28="","",TODAY()-K28))</x:f>
      </x:c>
      <x:c r="Q28" s="5" t="str">
        <x:f>IF(B28="","",IF(L28="","",L28-TODAY()))</x:f>
      </x:c>
      <x:c r="R28" s="5" t="str">
        <x:f>IF(B28="","",IF(OR(L28="",J28="Won",J28="Lost"),"No",IF(L28&lt;=TODAY(),"Yes","No")))</x:f>
      </x:c>
    </x:row>
    <x:row r="29" ht="18" customHeight="1">
      <x:c r="A29" s="29"/>
      <x:c r="B29" s="5"/>
      <x:c r="C29" s="5"/>
      <x:c r="D29" s="5"/>
      <x:c r="E29" s="5"/>
      <x:c r="F29" s="5"/>
      <x:c r="G29" s="5"/>
      <x:c r="H29" s="5"/>
      <x:c r="I29" s="5"/>
      <x:c r="J29" s="5"/>
      <x:c r="K29" s="29"/>
      <x:c r="L29" s="29"/>
      <x:c r="M29" s="13"/>
      <x:c r="N29" s="5"/>
      <x:c r="O29" s="5"/>
      <x:c r="P29" s="5" t="str">
        <x:f>IF(B29="","",IF(K29="","",TODAY()-K29))</x:f>
      </x:c>
      <x:c r="Q29" s="5" t="str">
        <x:f>IF(B29="","",IF(L29="","",L29-TODAY()))</x:f>
      </x:c>
      <x:c r="R29" s="5" t="str">
        <x:f>IF(B29="","",IF(OR(L29="",J29="Won",J29="Lost"),"No",IF(L29&lt;=TODAY(),"Yes","No")))</x:f>
      </x:c>
    </x:row>
    <x:row r="30" ht="18" customHeight="1">
      <x:c r="A30" s="29"/>
      <x:c r="B30" s="5"/>
      <x:c r="C30" s="5"/>
      <x:c r="D30" s="5"/>
      <x:c r="E30" s="5"/>
      <x:c r="F30" s="5"/>
      <x:c r="G30" s="5"/>
      <x:c r="H30" s="5"/>
      <x:c r="I30" s="5"/>
      <x:c r="J30" s="5"/>
      <x:c r="K30" s="29"/>
      <x:c r="L30" s="29"/>
      <x:c r="M30" s="13"/>
      <x:c r="N30" s="5"/>
      <x:c r="O30" s="5"/>
      <x:c r="P30" s="5" t="str">
        <x:f>IF(B30="","",IF(K30="","",TODAY()-K30))</x:f>
      </x:c>
      <x:c r="Q30" s="5" t="str">
        <x:f>IF(B30="","",IF(L30="","",L30-TODAY()))</x:f>
      </x:c>
      <x:c r="R30" s="5" t="str">
        <x:f>IF(B30="","",IF(OR(L30="",J30="Won",J30="Lost"),"No",IF(L30&lt;=TODAY(),"Yes","No")))</x:f>
      </x:c>
    </x:row>
    <x:row r="31" ht="18" customHeight="1">
      <x:c r="A31" s="29"/>
      <x:c r="B31" s="5"/>
      <x:c r="C31" s="5"/>
      <x:c r="D31" s="5"/>
      <x:c r="E31" s="5"/>
      <x:c r="F31" s="5"/>
      <x:c r="G31" s="5"/>
      <x:c r="H31" s="5"/>
      <x:c r="I31" s="5"/>
      <x:c r="J31" s="5"/>
      <x:c r="K31" s="29"/>
      <x:c r="L31" s="29"/>
      <x:c r="M31" s="13"/>
      <x:c r="N31" s="5"/>
      <x:c r="O31" s="5"/>
      <x:c r="P31" s="5" t="str">
        <x:f>IF(B31="","",IF(K31="","",TODAY()-K31))</x:f>
      </x:c>
      <x:c r="Q31" s="5" t="str">
        <x:f>IF(B31="","",IF(L31="","",L31-TODAY()))</x:f>
      </x:c>
      <x:c r="R31" s="5" t="str">
        <x:f>IF(B31="","",IF(OR(L31="",J31="Won",J31="Lost"),"No",IF(L31&lt;=TODAY(),"Yes","No")))</x:f>
      </x:c>
    </x:row>
    <x:row r="32" ht="18" customHeight="1">
      <x:c r="A32" s="29"/>
      <x:c r="B32" s="5"/>
      <x:c r="C32" s="5"/>
      <x:c r="D32" s="5"/>
      <x:c r="E32" s="5"/>
      <x:c r="F32" s="5"/>
      <x:c r="G32" s="5"/>
      <x:c r="H32" s="5"/>
      <x:c r="I32" s="5"/>
      <x:c r="J32" s="5"/>
      <x:c r="K32" s="29"/>
      <x:c r="L32" s="29"/>
      <x:c r="M32" s="13"/>
      <x:c r="N32" s="5"/>
      <x:c r="O32" s="5"/>
      <x:c r="P32" s="5" t="str">
        <x:f>IF(B32="","",IF(K32="","",TODAY()-K32))</x:f>
      </x:c>
      <x:c r="Q32" s="5" t="str">
        <x:f>IF(B32="","",IF(L32="","",L32-TODAY()))</x:f>
      </x:c>
      <x:c r="R32" s="5" t="str">
        <x:f>IF(B32="","",IF(OR(L32="",J32="Won",J32="Lost"),"No",IF(L32&lt;=TODAY(),"Yes","No")))</x:f>
      </x:c>
    </x:row>
    <x:row r="33" ht="18" customHeight="1">
      <x:c r="A33" s="29"/>
      <x:c r="B33" s="5"/>
      <x:c r="C33" s="5"/>
      <x:c r="D33" s="5"/>
      <x:c r="E33" s="5"/>
      <x:c r="F33" s="5"/>
      <x:c r="G33" s="5"/>
      <x:c r="H33" s="5"/>
      <x:c r="I33" s="5"/>
      <x:c r="J33" s="5"/>
      <x:c r="K33" s="29"/>
      <x:c r="L33" s="29"/>
      <x:c r="M33" s="13"/>
      <x:c r="N33" s="5"/>
      <x:c r="O33" s="5"/>
      <x:c r="P33" s="5" t="str">
        <x:f>IF(B33="","",IF(K33="","",TODAY()-K33))</x:f>
      </x:c>
      <x:c r="Q33" s="5" t="str">
        <x:f>IF(B33="","",IF(L33="","",L33-TODAY()))</x:f>
      </x:c>
      <x:c r="R33" s="5" t="str">
        <x:f>IF(B33="","",IF(OR(L33="",J33="Won",J33="Lost"),"No",IF(L33&lt;=TODAY(),"Yes","No")))</x:f>
      </x:c>
    </x:row>
    <x:row r="34" ht="18" customHeight="1">
      <x:c r="A34" s="29"/>
      <x:c r="B34" s="5"/>
      <x:c r="C34" s="5"/>
      <x:c r="D34" s="5"/>
      <x:c r="E34" s="5"/>
      <x:c r="F34" s="5"/>
      <x:c r="G34" s="5"/>
      <x:c r="H34" s="5"/>
      <x:c r="I34" s="5"/>
      <x:c r="J34" s="5"/>
      <x:c r="K34" s="29"/>
      <x:c r="L34" s="29"/>
      <x:c r="M34" s="13"/>
      <x:c r="N34" s="5"/>
      <x:c r="O34" s="5"/>
      <x:c r="P34" s="5" t="str">
        <x:f>IF(B34="","",IF(K34="","",TODAY()-K34))</x:f>
      </x:c>
      <x:c r="Q34" s="5" t="str">
        <x:f>IF(B34="","",IF(L34="","",L34-TODAY()))</x:f>
      </x:c>
      <x:c r="R34" s="5" t="str">
        <x:f>IF(B34="","",IF(OR(L34="",J34="Won",J34="Lost"),"No",IF(L34&lt;=TODAY(),"Yes","No")))</x:f>
      </x:c>
    </x:row>
    <x:row r="35" ht="18" customHeight="1">
      <x:c r="A35" s="29"/>
      <x:c r="B35" s="5"/>
      <x:c r="C35" s="5"/>
      <x:c r="D35" s="5"/>
      <x:c r="E35" s="5"/>
      <x:c r="F35" s="5"/>
      <x:c r="G35" s="5"/>
      <x:c r="H35" s="5"/>
      <x:c r="I35" s="5"/>
      <x:c r="J35" s="5"/>
      <x:c r="K35" s="29"/>
      <x:c r="L35" s="29"/>
      <x:c r="M35" s="13"/>
      <x:c r="N35" s="5"/>
      <x:c r="O35" s="5"/>
      <x:c r="P35" s="5" t="str">
        <x:f>IF(B35="","",IF(K35="","",TODAY()-K35))</x:f>
      </x:c>
      <x:c r="Q35" s="5" t="str">
        <x:f>IF(B35="","",IF(L35="","",L35-TODAY()))</x:f>
      </x:c>
      <x:c r="R35" s="5" t="str">
        <x:f>IF(B35="","",IF(OR(L35="",J35="Won",J35="Lost"),"No",IF(L35&lt;=TODAY(),"Yes","No")))</x:f>
      </x:c>
    </x:row>
    <x:row r="36" ht="18" customHeight="1">
      <x:c r="A36" s="29"/>
      <x:c r="B36" s="5"/>
      <x:c r="C36" s="5"/>
      <x:c r="D36" s="5"/>
      <x:c r="E36" s="5"/>
      <x:c r="F36" s="5"/>
      <x:c r="G36" s="5"/>
      <x:c r="H36" s="5"/>
      <x:c r="I36" s="5"/>
      <x:c r="J36" s="5"/>
      <x:c r="K36" s="29"/>
      <x:c r="L36" s="29"/>
      <x:c r="M36" s="13"/>
      <x:c r="N36" s="5"/>
      <x:c r="O36" s="5"/>
      <x:c r="P36" s="5" t="str">
        <x:f>IF(B36="","",IF(K36="","",TODAY()-K36))</x:f>
      </x:c>
      <x:c r="Q36" s="5" t="str">
        <x:f>IF(B36="","",IF(L36="","",L36-TODAY()))</x:f>
      </x:c>
      <x:c r="R36" s="5" t="str">
        <x:f>IF(B36="","",IF(OR(L36="",J36="Won",J36="Lost"),"No",IF(L36&lt;=TODAY(),"Yes","No")))</x:f>
      </x:c>
    </x:row>
    <x:row r="37" ht="18" customHeight="1">
      <x:c r="A37" s="29"/>
      <x:c r="B37" s="5"/>
      <x:c r="C37" s="5"/>
      <x:c r="D37" s="5"/>
      <x:c r="E37" s="5"/>
      <x:c r="F37" s="5"/>
      <x:c r="G37" s="5"/>
      <x:c r="H37" s="5"/>
      <x:c r="I37" s="5"/>
      <x:c r="J37" s="5"/>
      <x:c r="K37" s="29"/>
      <x:c r="L37" s="29"/>
      <x:c r="M37" s="13"/>
      <x:c r="N37" s="5"/>
      <x:c r="O37" s="5"/>
      <x:c r="P37" s="5" t="str">
        <x:f>IF(B37="","",IF(K37="","",TODAY()-K37))</x:f>
      </x:c>
      <x:c r="Q37" s="5" t="str">
        <x:f>IF(B37="","",IF(L37="","",L37-TODAY()))</x:f>
      </x:c>
      <x:c r="R37" s="5" t="str">
        <x:f>IF(B37="","",IF(OR(L37="",J37="Won",J37="Lost"),"No",IF(L37&lt;=TODAY(),"Yes","No")))</x:f>
      </x:c>
    </x:row>
    <x:row r="38" ht="18" customHeight="1">
      <x:c r="A38" s="29"/>
      <x:c r="B38" s="5"/>
      <x:c r="C38" s="5"/>
      <x:c r="D38" s="5"/>
      <x:c r="E38" s="5"/>
      <x:c r="F38" s="5"/>
      <x:c r="G38" s="5"/>
      <x:c r="H38" s="5"/>
      <x:c r="I38" s="5"/>
      <x:c r="J38" s="5"/>
      <x:c r="K38" s="29"/>
      <x:c r="L38" s="29"/>
      <x:c r="M38" s="13"/>
      <x:c r="N38" s="5"/>
      <x:c r="O38" s="5"/>
      <x:c r="P38" s="5" t="str">
        <x:f>IF(B38="","",IF(K38="","",TODAY()-K38))</x:f>
      </x:c>
      <x:c r="Q38" s="5" t="str">
        <x:f>IF(B38="","",IF(L38="","",L38-TODAY()))</x:f>
      </x:c>
      <x:c r="R38" s="5" t="str">
        <x:f>IF(B38="","",IF(OR(L38="",J38="Won",J38="Lost"),"No",IF(L38&lt;=TODAY(),"Yes","No")))</x:f>
      </x:c>
    </x:row>
    <x:row r="39" ht="18" customHeight="1">
      <x:c r="A39" s="29"/>
      <x:c r="B39" s="5"/>
      <x:c r="C39" s="5"/>
      <x:c r="D39" s="5"/>
      <x:c r="E39" s="5"/>
      <x:c r="F39" s="5"/>
      <x:c r="G39" s="5"/>
      <x:c r="H39" s="5"/>
      <x:c r="I39" s="5"/>
      <x:c r="J39" s="5"/>
      <x:c r="K39" s="29"/>
      <x:c r="L39" s="29"/>
      <x:c r="M39" s="13"/>
      <x:c r="N39" s="5"/>
      <x:c r="O39" s="5"/>
      <x:c r="P39" s="5" t="str">
        <x:f>IF(B39="","",IF(K39="","",TODAY()-K39))</x:f>
      </x:c>
      <x:c r="Q39" s="5" t="str">
        <x:f>IF(B39="","",IF(L39="","",L39-TODAY()))</x:f>
      </x:c>
      <x:c r="R39" s="5" t="str">
        <x:f>IF(B39="","",IF(OR(L39="",J39="Won",J39="Lost"),"No",IF(L39&lt;=TODAY(),"Yes","No")))</x:f>
      </x:c>
    </x:row>
    <x:row r="40" ht="18" customHeight="1">
      <x:c r="A40" s="29"/>
      <x:c r="B40" s="5"/>
      <x:c r="C40" s="5"/>
      <x:c r="D40" s="5"/>
      <x:c r="E40" s="5"/>
      <x:c r="F40" s="5"/>
      <x:c r="G40" s="5"/>
      <x:c r="H40" s="5"/>
      <x:c r="I40" s="5"/>
      <x:c r="J40" s="5"/>
      <x:c r="K40" s="29"/>
      <x:c r="L40" s="29"/>
      <x:c r="M40" s="13"/>
      <x:c r="N40" s="5"/>
      <x:c r="O40" s="5"/>
      <x:c r="P40" s="5" t="str">
        <x:f>IF(B40="","",IF(K40="","",TODAY()-K40))</x:f>
      </x:c>
      <x:c r="Q40" s="5" t="str">
        <x:f>IF(B40="","",IF(L40="","",L40-TODAY()))</x:f>
      </x:c>
      <x:c r="R40" s="5" t="str">
        <x:f>IF(B40="","",IF(OR(L40="",J40="Won",J40="Lost"),"No",IF(L40&lt;=TODAY(),"Yes","No")))</x:f>
      </x:c>
    </x:row>
    <x:row r="41" ht="18" customHeight="1">
      <x:c r="A41" s="29"/>
      <x:c r="B41" s="5"/>
      <x:c r="C41" s="5"/>
      <x:c r="D41" s="5"/>
      <x:c r="E41" s="5"/>
      <x:c r="F41" s="5"/>
      <x:c r="G41" s="5"/>
      <x:c r="H41" s="5"/>
      <x:c r="I41" s="5"/>
      <x:c r="J41" s="5"/>
      <x:c r="K41" s="29"/>
      <x:c r="L41" s="29"/>
      <x:c r="M41" s="13"/>
      <x:c r="N41" s="5"/>
      <x:c r="O41" s="5"/>
      <x:c r="P41" s="5" t="str">
        <x:f>IF(B41="","",IF(K41="","",TODAY()-K41))</x:f>
      </x:c>
      <x:c r="Q41" s="5" t="str">
        <x:f>IF(B41="","",IF(L41="","",L41-TODAY()))</x:f>
      </x:c>
      <x:c r="R41" s="5" t="str">
        <x:f>IF(B41="","",IF(OR(L41="",J41="Won",J41="Lost"),"No",IF(L41&lt;=TODAY(),"Yes","No")))</x:f>
      </x:c>
    </x:row>
    <x:row r="42" ht="18" customHeight="1">
      <x:c r="A42" s="29"/>
      <x:c r="B42" s="5"/>
      <x:c r="C42" s="5"/>
      <x:c r="D42" s="5"/>
      <x:c r="E42" s="5"/>
      <x:c r="F42" s="5"/>
      <x:c r="G42" s="5"/>
      <x:c r="H42" s="5"/>
      <x:c r="I42" s="5"/>
      <x:c r="J42" s="5"/>
      <x:c r="K42" s="29"/>
      <x:c r="L42" s="29"/>
      <x:c r="M42" s="13"/>
      <x:c r="N42" s="5"/>
      <x:c r="O42" s="5"/>
      <x:c r="P42" s="5" t="str">
        <x:f>IF(B42="","",IF(K42="","",TODAY()-K42))</x:f>
      </x:c>
      <x:c r="Q42" s="5" t="str">
        <x:f>IF(B42="","",IF(L42="","",L42-TODAY()))</x:f>
      </x:c>
      <x:c r="R42" s="5" t="str">
        <x:f>IF(B42="","",IF(OR(L42="",J42="Won",J42="Lost"),"No",IF(L42&lt;=TODAY(),"Yes","No")))</x:f>
      </x:c>
    </x:row>
    <x:row r="43" ht="18" customHeight="1">
      <x:c r="A43" s="29"/>
      <x:c r="B43" s="5"/>
      <x:c r="C43" s="5"/>
      <x:c r="D43" s="5"/>
      <x:c r="E43" s="5"/>
      <x:c r="F43" s="5"/>
      <x:c r="G43" s="5"/>
      <x:c r="H43" s="5"/>
      <x:c r="I43" s="5"/>
      <x:c r="J43" s="5"/>
      <x:c r="K43" s="29"/>
      <x:c r="L43" s="29"/>
      <x:c r="M43" s="13"/>
      <x:c r="N43" s="5"/>
      <x:c r="O43" s="5"/>
      <x:c r="P43" s="5" t="str">
        <x:f>IF(B43="","",IF(K43="","",TODAY()-K43))</x:f>
      </x:c>
      <x:c r="Q43" s="5" t="str">
        <x:f>IF(B43="","",IF(L43="","",L43-TODAY()))</x:f>
      </x:c>
      <x:c r="R43" s="5" t="str">
        <x:f>IF(B43="","",IF(OR(L43="",J43="Won",J43="Lost"),"No",IF(L43&lt;=TODAY(),"Yes","No")))</x:f>
      </x:c>
    </x:row>
    <x:row r="44" ht="18" customHeight="1">
      <x:c r="A44" s="29"/>
      <x:c r="B44" s="5"/>
      <x:c r="C44" s="5"/>
      <x:c r="D44" s="5"/>
      <x:c r="E44" s="5"/>
      <x:c r="F44" s="5"/>
      <x:c r="G44" s="5"/>
      <x:c r="H44" s="5"/>
      <x:c r="I44" s="5"/>
      <x:c r="J44" s="5"/>
      <x:c r="K44" s="29"/>
      <x:c r="L44" s="29"/>
      <x:c r="M44" s="13"/>
      <x:c r="N44" s="5"/>
      <x:c r="O44" s="5"/>
      <x:c r="P44" s="5" t="str">
        <x:f>IF(B44="","",IF(K44="","",TODAY()-K44))</x:f>
      </x:c>
      <x:c r="Q44" s="5" t="str">
        <x:f>IF(B44="","",IF(L44="","",L44-TODAY()))</x:f>
      </x:c>
      <x:c r="R44" s="5" t="str">
        <x:f>IF(B44="","",IF(OR(L44="",J44="Won",J44="Lost"),"No",IF(L44&lt;=TODAY(),"Yes","No")))</x:f>
      </x:c>
    </x:row>
    <x:row r="45" ht="18" customHeight="1">
      <x:c r="A45" s="29"/>
      <x:c r="B45" s="5"/>
      <x:c r="C45" s="5"/>
      <x:c r="D45" s="5"/>
      <x:c r="E45" s="5"/>
      <x:c r="F45" s="5"/>
      <x:c r="G45" s="5"/>
      <x:c r="H45" s="5"/>
      <x:c r="I45" s="5"/>
      <x:c r="J45" s="5"/>
      <x:c r="K45" s="29"/>
      <x:c r="L45" s="29"/>
      <x:c r="M45" s="13"/>
      <x:c r="N45" s="5"/>
      <x:c r="O45" s="5"/>
      <x:c r="P45" s="5" t="str">
        <x:f>IF(B45="","",IF(K45="","",TODAY()-K45))</x:f>
      </x:c>
      <x:c r="Q45" s="5" t="str">
        <x:f>IF(B45="","",IF(L45="","",L45-TODAY()))</x:f>
      </x:c>
      <x:c r="R45" s="5" t="str">
        <x:f>IF(B45="","",IF(OR(L45="",J45="Won",J45="Lost"),"No",IF(L45&lt;=TODAY(),"Yes","No")))</x:f>
      </x:c>
    </x:row>
    <x:row r="46" ht="18" customHeight="1">
      <x:c r="A46" s="29"/>
      <x:c r="B46" s="5"/>
      <x:c r="C46" s="5"/>
      <x:c r="D46" s="5"/>
      <x:c r="E46" s="5"/>
      <x:c r="F46" s="5"/>
      <x:c r="G46" s="5"/>
      <x:c r="H46" s="5"/>
      <x:c r="I46" s="5"/>
      <x:c r="J46" s="5"/>
      <x:c r="K46" s="29"/>
      <x:c r="L46" s="29"/>
      <x:c r="M46" s="13"/>
      <x:c r="N46" s="5"/>
      <x:c r="O46" s="5"/>
      <x:c r="P46" s="5" t="str">
        <x:f>IF(B46="","",IF(K46="","",TODAY()-K46))</x:f>
      </x:c>
      <x:c r="Q46" s="5" t="str">
        <x:f>IF(B46="","",IF(L46="","",L46-TODAY()))</x:f>
      </x:c>
      <x:c r="R46" s="5" t="str">
        <x:f>IF(B46="","",IF(OR(L46="",J46="Won",J46="Lost"),"No",IF(L46&lt;=TODAY(),"Yes","No")))</x:f>
      </x:c>
    </x:row>
    <x:row r="47" ht="18" customHeight="1">
      <x:c r="A47" s="29"/>
      <x:c r="B47" s="5"/>
      <x:c r="C47" s="5"/>
      <x:c r="D47" s="5"/>
      <x:c r="E47" s="5"/>
      <x:c r="F47" s="5"/>
      <x:c r="G47" s="5"/>
      <x:c r="H47" s="5"/>
      <x:c r="I47" s="5"/>
      <x:c r="J47" s="5"/>
      <x:c r="K47" s="29"/>
      <x:c r="L47" s="29"/>
      <x:c r="M47" s="13"/>
      <x:c r="N47" s="5"/>
      <x:c r="O47" s="5"/>
      <x:c r="P47" s="5" t="str">
        <x:f>IF(B47="","",IF(K47="","",TODAY()-K47))</x:f>
      </x:c>
      <x:c r="Q47" s="5" t="str">
        <x:f>IF(B47="","",IF(L47="","",L47-TODAY()))</x:f>
      </x:c>
      <x:c r="R47" s="5" t="str">
        <x:f>IF(B47="","",IF(OR(L47="",J47="Won",J47="Lost"),"No",IF(L47&lt;=TODAY(),"Yes","No")))</x:f>
      </x:c>
    </x:row>
    <x:row r="48" ht="18" customHeight="1">
      <x:c r="A48" s="29"/>
      <x:c r="B48" s="5"/>
      <x:c r="C48" s="5"/>
      <x:c r="D48" s="5"/>
      <x:c r="E48" s="5"/>
      <x:c r="F48" s="5"/>
      <x:c r="G48" s="5"/>
      <x:c r="H48" s="5"/>
      <x:c r="I48" s="5"/>
      <x:c r="J48" s="5"/>
      <x:c r="K48" s="29"/>
      <x:c r="L48" s="29"/>
      <x:c r="M48" s="13"/>
      <x:c r="N48" s="5"/>
      <x:c r="O48" s="5"/>
      <x:c r="P48" s="5" t="str">
        <x:f>IF(B48="","",IF(K48="","",TODAY()-K48))</x:f>
      </x:c>
      <x:c r="Q48" s="5" t="str">
        <x:f>IF(B48="","",IF(L48="","",L48-TODAY()))</x:f>
      </x:c>
      <x:c r="R48" s="5" t="str">
        <x:f>IF(B48="","",IF(OR(L48="",J48="Won",J48="Lost"),"No",IF(L48&lt;=TODAY(),"Yes","No")))</x:f>
      </x:c>
    </x:row>
    <x:row r="49" ht="18" customHeight="1">
      <x:c r="A49" s="29"/>
      <x:c r="B49" s="5"/>
      <x:c r="C49" s="5"/>
      <x:c r="D49" s="5"/>
      <x:c r="E49" s="5"/>
      <x:c r="F49" s="5"/>
      <x:c r="G49" s="5"/>
      <x:c r="H49" s="5"/>
      <x:c r="I49" s="5"/>
      <x:c r="J49" s="5"/>
      <x:c r="K49" s="29"/>
      <x:c r="L49" s="29"/>
      <x:c r="M49" s="13"/>
      <x:c r="N49" s="5"/>
      <x:c r="O49" s="5"/>
      <x:c r="P49" s="5" t="str">
        <x:f>IF(B49="","",IF(K49="","",TODAY()-K49))</x:f>
      </x:c>
      <x:c r="Q49" s="5" t="str">
        <x:f>IF(B49="","",IF(L49="","",L49-TODAY()))</x:f>
      </x:c>
      <x:c r="R49" s="5" t="str">
        <x:f>IF(B49="","",IF(OR(L49="",J49="Won",J49="Lost"),"No",IF(L49&lt;=TODAY(),"Yes","No")))</x:f>
      </x:c>
    </x:row>
    <x:row r="50" ht="18" customHeight="1">
      <x:c r="A50" s="29"/>
      <x:c r="B50" s="5"/>
      <x:c r="C50" s="5"/>
      <x:c r="D50" s="5"/>
      <x:c r="E50" s="5"/>
      <x:c r="F50" s="5"/>
      <x:c r="G50" s="5"/>
      <x:c r="H50" s="5"/>
      <x:c r="I50" s="5"/>
      <x:c r="J50" s="5"/>
      <x:c r="K50" s="29"/>
      <x:c r="L50" s="29"/>
      <x:c r="M50" s="13"/>
      <x:c r="N50" s="5"/>
      <x:c r="O50" s="5"/>
      <x:c r="P50" s="5" t="str">
        <x:f>IF(B50="","",IF(K50="","",TODAY()-K50))</x:f>
      </x:c>
      <x:c r="Q50" s="5" t="str">
        <x:f>IF(B50="","",IF(L50="","",L50-TODAY()))</x:f>
      </x:c>
      <x:c r="R50" s="5" t="str">
        <x:f>IF(B50="","",IF(OR(L50="",J50="Won",J50="Lost"),"No",IF(L50&lt;=TODAY(),"Yes","No")))</x:f>
      </x:c>
    </x:row>
    <x:row r="51" ht="18" customHeight="1">
      <x:c r="A51" s="29"/>
      <x:c r="B51" s="5"/>
      <x:c r="C51" s="5"/>
      <x:c r="D51" s="5"/>
      <x:c r="E51" s="5"/>
      <x:c r="F51" s="5"/>
      <x:c r="G51" s="5"/>
      <x:c r="H51" s="5"/>
      <x:c r="I51" s="5"/>
      <x:c r="J51" s="5"/>
      <x:c r="K51" s="29"/>
      <x:c r="L51" s="29"/>
      <x:c r="M51" s="13"/>
      <x:c r="N51" s="5"/>
      <x:c r="O51" s="5"/>
      <x:c r="P51" s="5" t="str">
        <x:f>IF(B51="","",IF(K51="","",TODAY()-K51))</x:f>
      </x:c>
      <x:c r="Q51" s="5" t="str">
        <x:f>IF(B51="","",IF(L51="","",L51-TODAY()))</x:f>
      </x:c>
      <x:c r="R51" s="5" t="str">
        <x:f>IF(B51="","",IF(OR(L51="",J51="Won",J51="Lost"),"No",IF(L51&lt;=TODAY(),"Yes","No")))</x:f>
      </x:c>
    </x:row>
    <x:row r="52" ht="18" customHeight="1">
      <x:c r="A52" s="29"/>
      <x:c r="B52" s="5"/>
      <x:c r="C52" s="5"/>
      <x:c r="D52" s="5"/>
      <x:c r="E52" s="5"/>
      <x:c r="F52" s="5"/>
      <x:c r="G52" s="5"/>
      <x:c r="H52" s="5"/>
      <x:c r="I52" s="5"/>
      <x:c r="J52" s="5"/>
      <x:c r="K52" s="29"/>
      <x:c r="L52" s="29"/>
      <x:c r="M52" s="13"/>
      <x:c r="N52" s="5"/>
      <x:c r="O52" s="5"/>
      <x:c r="P52" s="5" t="str">
        <x:f>IF(B52="","",IF(K52="","",TODAY()-K52))</x:f>
      </x:c>
      <x:c r="Q52" s="5" t="str">
        <x:f>IF(B52="","",IF(L52="","",L52-TODAY()))</x:f>
      </x:c>
      <x:c r="R52" s="5" t="str">
        <x:f>IF(B52="","",IF(OR(L52="",J52="Won",J52="Lost"),"No",IF(L52&lt;=TODAY(),"Yes","No")))</x:f>
      </x:c>
    </x:row>
    <x:row r="53" ht="18" customHeight="1">
      <x:c r="A53" s="29"/>
      <x:c r="B53" s="5"/>
      <x:c r="C53" s="5"/>
      <x:c r="D53" s="5"/>
      <x:c r="E53" s="5"/>
      <x:c r="F53" s="5"/>
      <x:c r="G53" s="5"/>
      <x:c r="H53" s="5"/>
      <x:c r="I53" s="5"/>
      <x:c r="J53" s="5"/>
      <x:c r="K53" s="29"/>
      <x:c r="L53" s="29"/>
      <x:c r="M53" s="13"/>
      <x:c r="N53" s="5"/>
      <x:c r="O53" s="5"/>
      <x:c r="P53" s="5" t="str">
        <x:f>IF(B53="","",IF(K53="","",TODAY()-K53))</x:f>
      </x:c>
      <x:c r="Q53" s="5" t="str">
        <x:f>IF(B53="","",IF(L53="","",L53-TODAY()))</x:f>
      </x:c>
      <x:c r="R53" s="5" t="str">
        <x:f>IF(B53="","",IF(OR(L53="",J53="Won",J53="Lost"),"No",IF(L53&lt;=TODAY(),"Yes","No")))</x:f>
      </x:c>
    </x:row>
    <x:row r="54" ht="18" customHeight="1">
      <x:c r="A54" s="29"/>
      <x:c r="B54" s="5"/>
      <x:c r="C54" s="5"/>
      <x:c r="D54" s="5"/>
      <x:c r="E54" s="5"/>
      <x:c r="F54" s="5"/>
      <x:c r="G54" s="5"/>
      <x:c r="H54" s="5"/>
      <x:c r="I54" s="5"/>
      <x:c r="J54" s="5"/>
      <x:c r="K54" s="29"/>
      <x:c r="L54" s="29"/>
      <x:c r="M54" s="13"/>
      <x:c r="N54" s="5"/>
      <x:c r="O54" s="5"/>
      <x:c r="P54" s="5" t="str">
        <x:f>IF(B54="","",IF(K54="","",TODAY()-K54))</x:f>
      </x:c>
      <x:c r="Q54" s="5" t="str">
        <x:f>IF(B54="","",IF(L54="","",L54-TODAY()))</x:f>
      </x:c>
      <x:c r="R54" s="5" t="str">
        <x:f>IF(B54="","",IF(OR(L54="",J54="Won",J54="Lost"),"No",IF(L54&lt;=TODAY(),"Yes","No")))</x:f>
      </x:c>
    </x:row>
    <x:row r="55" ht="18" customHeight="1">
      <x:c r="A55" s="29"/>
      <x:c r="B55" s="5"/>
      <x:c r="C55" s="5"/>
      <x:c r="D55" s="5"/>
      <x:c r="E55" s="5"/>
      <x:c r="F55" s="5"/>
      <x:c r="G55" s="5"/>
      <x:c r="H55" s="5"/>
      <x:c r="I55" s="5"/>
      <x:c r="J55" s="5"/>
      <x:c r="K55" s="29"/>
      <x:c r="L55" s="29"/>
      <x:c r="M55" s="13"/>
      <x:c r="N55" s="5"/>
      <x:c r="O55" s="5"/>
      <x:c r="P55" s="5" t="str">
        <x:f>IF(B55="","",IF(K55="","",TODAY()-K55))</x:f>
      </x:c>
      <x:c r="Q55" s="5" t="str">
        <x:f>IF(B55="","",IF(L55="","",L55-TODAY()))</x:f>
      </x:c>
      <x:c r="R55" s="5" t="str">
        <x:f>IF(B55="","",IF(OR(L55="",J55="Won",J55="Lost"),"No",IF(L55&lt;=TODAY(),"Yes","No")))</x:f>
      </x:c>
    </x:row>
    <x:row r="56" ht="18" customHeight="1">
      <x:c r="A56" s="29"/>
      <x:c r="B56" s="5"/>
      <x:c r="C56" s="5"/>
      <x:c r="D56" s="5"/>
      <x:c r="E56" s="5"/>
      <x:c r="F56" s="5"/>
      <x:c r="G56" s="5"/>
      <x:c r="H56" s="5"/>
      <x:c r="I56" s="5"/>
      <x:c r="J56" s="5"/>
      <x:c r="K56" s="29"/>
      <x:c r="L56" s="29"/>
      <x:c r="M56" s="13"/>
      <x:c r="N56" s="5"/>
      <x:c r="O56" s="5"/>
      <x:c r="P56" s="5" t="str">
        <x:f>IF(B56="","",IF(K56="","",TODAY()-K56))</x:f>
      </x:c>
      <x:c r="Q56" s="5" t="str">
        <x:f>IF(B56="","",IF(L56="","",L56-TODAY()))</x:f>
      </x:c>
      <x:c r="R56" s="5" t="str">
        <x:f>IF(B56="","",IF(OR(L56="",J56="Won",J56="Lost"),"No",IF(L56&lt;=TODAY(),"Yes","No")))</x:f>
      </x:c>
    </x:row>
    <x:row r="57" ht="18" customHeight="1">
      <x:c r="A57" s="29"/>
      <x:c r="B57" s="5"/>
      <x:c r="C57" s="5"/>
      <x:c r="D57" s="5"/>
      <x:c r="E57" s="5"/>
      <x:c r="F57" s="5"/>
      <x:c r="G57" s="5"/>
      <x:c r="H57" s="5"/>
      <x:c r="I57" s="5"/>
      <x:c r="J57" s="5"/>
      <x:c r="K57" s="29"/>
      <x:c r="L57" s="29"/>
      <x:c r="M57" s="13"/>
      <x:c r="N57" s="5"/>
      <x:c r="O57" s="5"/>
      <x:c r="P57" s="5" t="str">
        <x:f>IF(B57="","",IF(K57="","",TODAY()-K57))</x:f>
      </x:c>
      <x:c r="Q57" s="5" t="str">
        <x:f>IF(B57="","",IF(L57="","",L57-TODAY()))</x:f>
      </x:c>
      <x:c r="R57" s="5" t="str">
        <x:f>IF(B57="","",IF(OR(L57="",J57="Won",J57="Lost"),"No",IF(L57&lt;=TODAY(),"Yes","No")))</x:f>
      </x:c>
    </x:row>
    <x:row r="58" ht="18" customHeight="1">
      <x:c r="A58" s="29"/>
      <x:c r="B58" s="5"/>
      <x:c r="C58" s="5"/>
      <x:c r="D58" s="5"/>
      <x:c r="E58" s="5"/>
      <x:c r="F58" s="5"/>
      <x:c r="G58" s="5"/>
      <x:c r="H58" s="5"/>
      <x:c r="I58" s="5"/>
      <x:c r="J58" s="5"/>
      <x:c r="K58" s="29"/>
      <x:c r="L58" s="29"/>
      <x:c r="M58" s="13"/>
      <x:c r="N58" s="5"/>
      <x:c r="O58" s="5"/>
      <x:c r="P58" s="5" t="str">
        <x:f>IF(B58="","",IF(K58="","",TODAY()-K58))</x:f>
      </x:c>
      <x:c r="Q58" s="5" t="str">
        <x:f>IF(B58="","",IF(L58="","",L58-TODAY()))</x:f>
      </x:c>
      <x:c r="R58" s="5" t="str">
        <x:f>IF(B58="","",IF(OR(L58="",J58="Won",J58="Lost"),"No",IF(L58&lt;=TODAY(),"Yes","No")))</x:f>
      </x:c>
    </x:row>
    <x:row r="59" ht="18" customHeight="1">
      <x:c r="A59" s="29"/>
      <x:c r="B59" s="5"/>
      <x:c r="C59" s="5"/>
      <x:c r="D59" s="5"/>
      <x:c r="E59" s="5"/>
      <x:c r="F59" s="5"/>
      <x:c r="G59" s="5"/>
      <x:c r="H59" s="5"/>
      <x:c r="I59" s="5"/>
      <x:c r="J59" s="5"/>
      <x:c r="K59" s="29"/>
      <x:c r="L59" s="29"/>
      <x:c r="M59" s="13"/>
      <x:c r="N59" s="5"/>
      <x:c r="O59" s="5"/>
      <x:c r="P59" s="5" t="str">
        <x:f>IF(B59="","",IF(K59="","",TODAY()-K59))</x:f>
      </x:c>
      <x:c r="Q59" s="5" t="str">
        <x:f>IF(B59="","",IF(L59="","",L59-TODAY()))</x:f>
      </x:c>
      <x:c r="R59" s="5" t="str">
        <x:f>IF(B59="","",IF(OR(L59="",J59="Won",J59="Lost"),"No",IF(L59&lt;=TODAY(),"Yes","No")))</x:f>
      </x:c>
    </x:row>
    <x:row r="60" ht="18" customHeight="1">
      <x:c r="A60" s="29"/>
      <x:c r="B60" s="5"/>
      <x:c r="C60" s="5"/>
      <x:c r="D60" s="5"/>
      <x:c r="E60" s="5"/>
      <x:c r="F60" s="5"/>
      <x:c r="G60" s="5"/>
      <x:c r="H60" s="5"/>
      <x:c r="I60" s="5"/>
      <x:c r="J60" s="5"/>
      <x:c r="K60" s="29"/>
      <x:c r="L60" s="29"/>
      <x:c r="M60" s="13"/>
      <x:c r="N60" s="5"/>
      <x:c r="O60" s="5"/>
      <x:c r="P60" s="5" t="str">
        <x:f>IF(B60="","",IF(K60="","",TODAY()-K60))</x:f>
      </x:c>
      <x:c r="Q60" s="5" t="str">
        <x:f>IF(B60="","",IF(L60="","",L60-TODAY()))</x:f>
      </x:c>
      <x:c r="R60" s="5" t="str">
        <x:f>IF(B60="","",IF(OR(L60="",J60="Won",J60="Lost"),"No",IF(L60&lt;=TODAY(),"Yes","No")))</x:f>
      </x:c>
    </x:row>
    <x:row r="61" ht="18" customHeight="1">
      <x:c r="A61" s="29"/>
      <x:c r="B61" s="5"/>
      <x:c r="C61" s="5"/>
      <x:c r="D61" s="5"/>
      <x:c r="E61" s="5"/>
      <x:c r="F61" s="5"/>
      <x:c r="G61" s="5"/>
      <x:c r="H61" s="5"/>
      <x:c r="I61" s="5"/>
      <x:c r="J61" s="5"/>
      <x:c r="K61" s="29"/>
      <x:c r="L61" s="29"/>
      <x:c r="M61" s="13"/>
      <x:c r="N61" s="5"/>
      <x:c r="O61" s="5"/>
      <x:c r="P61" s="5" t="str">
        <x:f>IF(B61="","",IF(K61="","",TODAY()-K61))</x:f>
      </x:c>
      <x:c r="Q61" s="5" t="str">
        <x:f>IF(B61="","",IF(L61="","",L61-TODAY()))</x:f>
      </x:c>
      <x:c r="R61" s="5" t="str">
        <x:f>IF(B61="","",IF(OR(L61="",J61="Won",J61="Lost"),"No",IF(L61&lt;=TODAY(),"Yes","No")))</x:f>
      </x:c>
    </x:row>
    <x:row r="62" ht="18" customHeight="1">
      <x:c r="A62" s="29"/>
      <x:c r="B62" s="5"/>
      <x:c r="C62" s="5"/>
      <x:c r="D62" s="5"/>
      <x:c r="E62" s="5"/>
      <x:c r="F62" s="5"/>
      <x:c r="G62" s="5"/>
      <x:c r="H62" s="5"/>
      <x:c r="I62" s="5"/>
      <x:c r="J62" s="5"/>
      <x:c r="K62" s="29"/>
      <x:c r="L62" s="29"/>
      <x:c r="M62" s="13"/>
      <x:c r="N62" s="5"/>
      <x:c r="O62" s="5"/>
      <x:c r="P62" s="5" t="str">
        <x:f>IF(B62="","",IF(K62="","",TODAY()-K62))</x:f>
      </x:c>
      <x:c r="Q62" s="5" t="str">
        <x:f>IF(B62="","",IF(L62="","",L62-TODAY()))</x:f>
      </x:c>
      <x:c r="R62" s="5" t="str">
        <x:f>IF(B62="","",IF(OR(L62="",J62="Won",J62="Lost"),"No",IF(L62&lt;=TODAY(),"Yes","No")))</x:f>
      </x:c>
    </x:row>
    <x:row r="63" ht="18" customHeight="1">
      <x:c r="A63" s="29"/>
      <x:c r="B63" s="5"/>
      <x:c r="C63" s="5"/>
      <x:c r="D63" s="5"/>
      <x:c r="E63" s="5"/>
      <x:c r="F63" s="5"/>
      <x:c r="G63" s="5"/>
      <x:c r="H63" s="5"/>
      <x:c r="I63" s="5"/>
      <x:c r="J63" s="5"/>
      <x:c r="K63" s="29"/>
      <x:c r="L63" s="29"/>
      <x:c r="M63" s="13"/>
      <x:c r="N63" s="5"/>
      <x:c r="O63" s="5"/>
      <x:c r="P63" s="5" t="str">
        <x:f>IF(B63="","",IF(K63="","",TODAY()-K63))</x:f>
      </x:c>
      <x:c r="Q63" s="5" t="str">
        <x:f>IF(B63="","",IF(L63="","",L63-TODAY()))</x:f>
      </x:c>
      <x:c r="R63" s="5" t="str">
        <x:f>IF(B63="","",IF(OR(L63="",J63="Won",J63="Lost"),"No",IF(L63&lt;=TODAY(),"Yes","No")))</x:f>
      </x:c>
    </x:row>
    <x:row r="64" ht="18" customHeight="1">
      <x:c r="A64" s="29"/>
      <x:c r="B64" s="5"/>
      <x:c r="C64" s="5"/>
      <x:c r="D64" s="5"/>
      <x:c r="E64" s="5"/>
      <x:c r="F64" s="5"/>
      <x:c r="G64" s="5"/>
      <x:c r="H64" s="5"/>
      <x:c r="I64" s="5"/>
      <x:c r="J64" s="5"/>
      <x:c r="K64" s="29"/>
      <x:c r="L64" s="29"/>
      <x:c r="M64" s="13"/>
      <x:c r="N64" s="5"/>
      <x:c r="O64" s="5"/>
      <x:c r="P64" s="5" t="str">
        <x:f>IF(B64="","",IF(K64="","",TODAY()-K64))</x:f>
      </x:c>
      <x:c r="Q64" s="5" t="str">
        <x:f>IF(B64="","",IF(L64="","",L64-TODAY()))</x:f>
      </x:c>
      <x:c r="R64" s="5" t="str">
        <x:f>IF(B64="","",IF(OR(L64="",J64="Won",J64="Lost"),"No",IF(L64&lt;=TODAY(),"Yes","No")))</x:f>
      </x:c>
    </x:row>
    <x:row r="65" ht="18" customHeight="1">
      <x:c r="A65" s="29"/>
      <x:c r="B65" s="5"/>
      <x:c r="C65" s="5"/>
      <x:c r="D65" s="5"/>
      <x:c r="E65" s="5"/>
      <x:c r="F65" s="5"/>
      <x:c r="G65" s="5"/>
      <x:c r="H65" s="5"/>
      <x:c r="I65" s="5"/>
      <x:c r="J65" s="5"/>
      <x:c r="K65" s="29"/>
      <x:c r="L65" s="29"/>
      <x:c r="M65" s="13"/>
      <x:c r="N65" s="5"/>
      <x:c r="O65" s="5"/>
      <x:c r="P65" s="5" t="str">
        <x:f>IF(B65="","",IF(K65="","",TODAY()-K65))</x:f>
      </x:c>
      <x:c r="Q65" s="5" t="str">
        <x:f>IF(B65="","",IF(L65="","",L65-TODAY()))</x:f>
      </x:c>
      <x:c r="R65" s="5" t="str">
        <x:f>IF(B65="","",IF(OR(L65="",J65="Won",J65="Lost"),"No",IF(L65&lt;=TODAY(),"Yes","No")))</x:f>
      </x:c>
    </x:row>
    <x:row r="66" ht="18" customHeight="1">
      <x:c r="A66" s="29"/>
      <x:c r="B66" s="5"/>
      <x:c r="C66" s="5"/>
      <x:c r="D66" s="5"/>
      <x:c r="E66" s="5"/>
      <x:c r="F66" s="5"/>
      <x:c r="G66" s="5"/>
      <x:c r="H66" s="5"/>
      <x:c r="I66" s="5"/>
      <x:c r="J66" s="5"/>
      <x:c r="K66" s="29"/>
      <x:c r="L66" s="29"/>
      <x:c r="M66" s="13"/>
      <x:c r="N66" s="5"/>
      <x:c r="O66" s="5"/>
      <x:c r="P66" s="5" t="str">
        <x:f>IF(B66="","",IF(K66="","",TODAY()-K66))</x:f>
      </x:c>
      <x:c r="Q66" s="5" t="str">
        <x:f>IF(B66="","",IF(L66="","",L66-TODAY()))</x:f>
      </x:c>
      <x:c r="R66" s="5" t="str">
        <x:f>IF(B66="","",IF(OR(L66="",J66="Won",J66="Lost"),"No",IF(L66&lt;=TODAY(),"Yes","No")))</x:f>
      </x:c>
    </x:row>
    <x:row r="67" ht="18" customHeight="1">
      <x:c r="A67" s="29"/>
      <x:c r="B67" s="5"/>
      <x:c r="C67" s="5"/>
      <x:c r="D67" s="5"/>
      <x:c r="E67" s="5"/>
      <x:c r="F67" s="5"/>
      <x:c r="G67" s="5"/>
      <x:c r="H67" s="5"/>
      <x:c r="I67" s="5"/>
      <x:c r="J67" s="5"/>
      <x:c r="K67" s="29"/>
      <x:c r="L67" s="29"/>
      <x:c r="M67" s="13"/>
      <x:c r="N67" s="5"/>
      <x:c r="O67" s="5"/>
      <x:c r="P67" s="5" t="str">
        <x:f>IF(B67="","",IF(K67="","",TODAY()-K67))</x:f>
      </x:c>
      <x:c r="Q67" s="5" t="str">
        <x:f>IF(B67="","",IF(L67="","",L67-TODAY()))</x:f>
      </x:c>
      <x:c r="R67" s="5" t="str">
        <x:f>IF(B67="","",IF(OR(L67="",J67="Won",J67="Lost"),"No",IF(L67&lt;=TODAY(),"Yes","No")))</x:f>
      </x:c>
    </x:row>
    <x:row r="68" ht="18" customHeight="1">
      <x:c r="A68" s="29"/>
      <x:c r="B68" s="5"/>
      <x:c r="C68" s="5"/>
      <x:c r="D68" s="5"/>
      <x:c r="E68" s="5"/>
      <x:c r="F68" s="5"/>
      <x:c r="G68" s="5"/>
      <x:c r="H68" s="5"/>
      <x:c r="I68" s="5"/>
      <x:c r="J68" s="5"/>
      <x:c r="K68" s="29"/>
      <x:c r="L68" s="29"/>
      <x:c r="M68" s="13"/>
      <x:c r="N68" s="5"/>
      <x:c r="O68" s="5"/>
      <x:c r="P68" s="5" t="str">
        <x:f>IF(B68="","",IF(K68="","",TODAY()-K68))</x:f>
      </x:c>
      <x:c r="Q68" s="5" t="str">
        <x:f>IF(B68="","",IF(L68="","",L68-TODAY()))</x:f>
      </x:c>
      <x:c r="R68" s="5" t="str">
        <x:f>IF(B68="","",IF(OR(L68="",J68="Won",J68="Lost"),"No",IF(L68&lt;=TODAY(),"Yes","No")))</x:f>
      </x:c>
    </x:row>
    <x:row r="69" ht="18" customHeight="1">
      <x:c r="A69" s="29"/>
      <x:c r="B69" s="5"/>
      <x:c r="C69" s="5"/>
      <x:c r="D69" s="5"/>
      <x:c r="E69" s="5"/>
      <x:c r="F69" s="5"/>
      <x:c r="G69" s="5"/>
      <x:c r="H69" s="5"/>
      <x:c r="I69" s="5"/>
      <x:c r="J69" s="5"/>
      <x:c r="K69" s="29"/>
      <x:c r="L69" s="29"/>
      <x:c r="M69" s="13"/>
      <x:c r="N69" s="5"/>
      <x:c r="O69" s="5"/>
      <x:c r="P69" s="5" t="str">
        <x:f>IF(B69="","",IF(K69="","",TODAY()-K69))</x:f>
      </x:c>
      <x:c r="Q69" s="5" t="str">
        <x:f>IF(B69="","",IF(L69="","",L69-TODAY()))</x:f>
      </x:c>
      <x:c r="R69" s="5" t="str">
        <x:f>IF(B69="","",IF(OR(L69="",J69="Won",J69="Lost"),"No",IF(L69&lt;=TODAY(),"Yes","No")))</x:f>
      </x:c>
    </x:row>
    <x:row r="70" ht="18" customHeight="1">
      <x:c r="A70" s="29"/>
      <x:c r="B70" s="5"/>
      <x:c r="C70" s="5"/>
      <x:c r="D70" s="5"/>
      <x:c r="E70" s="5"/>
      <x:c r="F70" s="5"/>
      <x:c r="G70" s="5"/>
      <x:c r="H70" s="5"/>
      <x:c r="I70" s="5"/>
      <x:c r="J70" s="5"/>
      <x:c r="K70" s="29"/>
      <x:c r="L70" s="29"/>
      <x:c r="M70" s="13"/>
      <x:c r="N70" s="5"/>
      <x:c r="O70" s="5"/>
      <x:c r="P70" s="5" t="str">
        <x:f>IF(B70="","",IF(K70="","",TODAY()-K70))</x:f>
      </x:c>
      <x:c r="Q70" s="5" t="str">
        <x:f>IF(B70="","",IF(L70="","",L70-TODAY()))</x:f>
      </x:c>
      <x:c r="R70" s="5" t="str">
        <x:f>IF(B70="","",IF(OR(L70="",J70="Won",J70="Lost"),"No",IF(L70&lt;=TODAY(),"Yes","No")))</x:f>
      </x:c>
    </x:row>
    <x:row r="71" ht="18" customHeight="1">
      <x:c r="A71" s="29"/>
      <x:c r="B71" s="5"/>
      <x:c r="C71" s="5"/>
      <x:c r="D71" s="5"/>
      <x:c r="E71" s="5"/>
      <x:c r="F71" s="5"/>
      <x:c r="G71" s="5"/>
      <x:c r="H71" s="5"/>
      <x:c r="I71" s="5"/>
      <x:c r="J71" s="5"/>
      <x:c r="K71" s="29"/>
      <x:c r="L71" s="29"/>
      <x:c r="M71" s="13"/>
      <x:c r="N71" s="5"/>
      <x:c r="O71" s="5"/>
      <x:c r="P71" s="5" t="str">
        <x:f>IF(B71="","",IF(K71="","",TODAY()-K71))</x:f>
      </x:c>
      <x:c r="Q71" s="5" t="str">
        <x:f>IF(B71="","",IF(L71="","",L71-TODAY()))</x:f>
      </x:c>
      <x:c r="R71" s="5" t="str">
        <x:f>IF(B71="","",IF(OR(L71="",J71="Won",J71="Lost"),"No",IF(L71&lt;=TODAY(),"Yes","No")))</x:f>
      </x:c>
    </x:row>
    <x:row r="72" ht="18" customHeight="1">
      <x:c r="A72" s="29"/>
      <x:c r="B72" s="5"/>
      <x:c r="C72" s="5"/>
      <x:c r="D72" s="5"/>
      <x:c r="E72" s="5"/>
      <x:c r="F72" s="5"/>
      <x:c r="G72" s="5"/>
      <x:c r="H72" s="5"/>
      <x:c r="I72" s="5"/>
      <x:c r="J72" s="5"/>
      <x:c r="K72" s="29"/>
      <x:c r="L72" s="29"/>
      <x:c r="M72" s="13"/>
      <x:c r="N72" s="5"/>
      <x:c r="O72" s="5"/>
      <x:c r="P72" s="5" t="str">
        <x:f>IF(B72="","",IF(K72="","",TODAY()-K72))</x:f>
      </x:c>
      <x:c r="Q72" s="5" t="str">
        <x:f>IF(B72="","",IF(L72="","",L72-TODAY()))</x:f>
      </x:c>
      <x:c r="R72" s="5" t="str">
        <x:f>IF(B72="","",IF(OR(L72="",J72="Won",J72="Lost"),"No",IF(L72&lt;=TODAY(),"Yes","No")))</x:f>
      </x:c>
    </x:row>
    <x:row r="73" ht="18" customHeight="1">
      <x:c r="A73" s="29"/>
      <x:c r="B73" s="5"/>
      <x:c r="C73" s="5"/>
      <x:c r="D73" s="5"/>
      <x:c r="E73" s="5"/>
      <x:c r="F73" s="5"/>
      <x:c r="G73" s="5"/>
      <x:c r="H73" s="5"/>
      <x:c r="I73" s="5"/>
      <x:c r="J73" s="5"/>
      <x:c r="K73" s="29"/>
      <x:c r="L73" s="29"/>
      <x:c r="M73" s="13"/>
      <x:c r="N73" s="5"/>
      <x:c r="O73" s="5"/>
      <x:c r="P73" s="5" t="str">
        <x:f>IF(B73="","",IF(K73="","",TODAY()-K73))</x:f>
      </x:c>
      <x:c r="Q73" s="5" t="str">
        <x:f>IF(B73="","",IF(L73="","",L73-TODAY()))</x:f>
      </x:c>
      <x:c r="R73" s="5" t="str">
        <x:f>IF(B73="","",IF(OR(L73="",J73="Won",J73="Lost"),"No",IF(L73&lt;=TODAY(),"Yes","No")))</x:f>
      </x:c>
    </x:row>
    <x:row r="74" ht="18" customHeight="1">
      <x:c r="A74" s="29"/>
      <x:c r="B74" s="5"/>
      <x:c r="C74" s="5"/>
      <x:c r="D74" s="5"/>
      <x:c r="E74" s="5"/>
      <x:c r="F74" s="5"/>
      <x:c r="G74" s="5"/>
      <x:c r="H74" s="5"/>
      <x:c r="I74" s="5"/>
      <x:c r="J74" s="5"/>
      <x:c r="K74" s="29"/>
      <x:c r="L74" s="29"/>
      <x:c r="M74" s="13"/>
      <x:c r="N74" s="5"/>
      <x:c r="O74" s="5"/>
      <x:c r="P74" s="5" t="str">
        <x:f>IF(B74="","",IF(K74="","",TODAY()-K74))</x:f>
      </x:c>
      <x:c r="Q74" s="5" t="str">
        <x:f>IF(B74="","",IF(L74="","",L74-TODAY()))</x:f>
      </x:c>
      <x:c r="R74" s="5" t="str">
        <x:f>IF(B74="","",IF(OR(L74="",J74="Won",J74="Lost"),"No",IF(L74&lt;=TODAY(),"Yes","No")))</x:f>
      </x:c>
    </x:row>
    <x:row r="75" ht="18" customHeight="1">
      <x:c r="A75" s="29"/>
      <x:c r="B75" s="5"/>
      <x:c r="C75" s="5"/>
      <x:c r="D75" s="5"/>
      <x:c r="E75" s="5"/>
      <x:c r="F75" s="5"/>
      <x:c r="G75" s="5"/>
      <x:c r="H75" s="5"/>
      <x:c r="I75" s="5"/>
      <x:c r="J75" s="5"/>
      <x:c r="K75" s="29"/>
      <x:c r="L75" s="29"/>
      <x:c r="M75" s="13"/>
      <x:c r="N75" s="5"/>
      <x:c r="O75" s="5"/>
      <x:c r="P75" s="5" t="str">
        <x:f>IF(B75="","",IF(K75="","",TODAY()-K75))</x:f>
      </x:c>
      <x:c r="Q75" s="5" t="str">
        <x:f>IF(B75="","",IF(L75="","",L75-TODAY()))</x:f>
      </x:c>
      <x:c r="R75" s="5" t="str">
        <x:f>IF(B75="","",IF(OR(L75="",J75="Won",J75="Lost"),"No",IF(L75&lt;=TODAY(),"Yes","No")))</x:f>
      </x:c>
    </x:row>
    <x:row r="76" ht="18" customHeight="1">
      <x:c r="A76" s="29"/>
      <x:c r="B76" s="5"/>
      <x:c r="C76" s="5"/>
      <x:c r="D76" s="5"/>
      <x:c r="E76" s="5"/>
      <x:c r="F76" s="5"/>
      <x:c r="G76" s="5"/>
      <x:c r="H76" s="5"/>
      <x:c r="I76" s="5"/>
      <x:c r="J76" s="5"/>
      <x:c r="K76" s="29"/>
      <x:c r="L76" s="29"/>
      <x:c r="M76" s="13"/>
      <x:c r="N76" s="5"/>
      <x:c r="O76" s="5"/>
      <x:c r="P76" s="5" t="str">
        <x:f>IF(B76="","",IF(K76="","",TODAY()-K76))</x:f>
      </x:c>
      <x:c r="Q76" s="5" t="str">
        <x:f>IF(B76="","",IF(L76="","",L76-TODAY()))</x:f>
      </x:c>
      <x:c r="R76" s="5" t="str">
        <x:f>IF(B76="","",IF(OR(L76="",J76="Won",J76="Lost"),"No",IF(L76&lt;=TODAY(),"Yes","No")))</x:f>
      </x:c>
    </x:row>
    <x:row r="77" ht="18" customHeight="1">
      <x:c r="A77" s="29"/>
      <x:c r="B77" s="5"/>
      <x:c r="C77" s="5"/>
      <x:c r="D77" s="5"/>
      <x:c r="E77" s="5"/>
      <x:c r="F77" s="5"/>
      <x:c r="G77" s="5"/>
      <x:c r="H77" s="5"/>
      <x:c r="I77" s="5"/>
      <x:c r="J77" s="5"/>
      <x:c r="K77" s="29"/>
      <x:c r="L77" s="29"/>
      <x:c r="M77" s="13"/>
      <x:c r="N77" s="5"/>
      <x:c r="O77" s="5"/>
      <x:c r="P77" s="5" t="str">
        <x:f>IF(B77="","",IF(K77="","",TODAY()-K77))</x:f>
      </x:c>
      <x:c r="Q77" s="5" t="str">
        <x:f>IF(B77="","",IF(L77="","",L77-TODAY()))</x:f>
      </x:c>
      <x:c r="R77" s="5" t="str">
        <x:f>IF(B77="","",IF(OR(L77="",J77="Won",J77="Lost"),"No",IF(L77&lt;=TODAY(),"Yes","No")))</x:f>
      </x:c>
    </x:row>
    <x:row r="78" ht="18" customHeight="1">
      <x:c r="A78" s="29"/>
      <x:c r="B78" s="5"/>
      <x:c r="C78" s="5"/>
      <x:c r="D78" s="5"/>
      <x:c r="E78" s="5"/>
      <x:c r="F78" s="5"/>
      <x:c r="G78" s="5"/>
      <x:c r="H78" s="5"/>
      <x:c r="I78" s="5"/>
      <x:c r="J78" s="5"/>
      <x:c r="K78" s="29"/>
      <x:c r="L78" s="29"/>
      <x:c r="M78" s="13"/>
      <x:c r="N78" s="5"/>
      <x:c r="O78" s="5"/>
      <x:c r="P78" s="5" t="str">
        <x:f>IF(B78="","",IF(K78="","",TODAY()-K78))</x:f>
      </x:c>
      <x:c r="Q78" s="5" t="str">
        <x:f>IF(B78="","",IF(L78="","",L78-TODAY()))</x:f>
      </x:c>
      <x:c r="R78" s="5" t="str">
        <x:f>IF(B78="","",IF(OR(L78="",J78="Won",J78="Lost"),"No",IF(L78&lt;=TODAY(),"Yes","No")))</x:f>
      </x:c>
    </x:row>
    <x:row r="79" ht="18" customHeight="1">
      <x:c r="A79" s="29"/>
      <x:c r="B79" s="5"/>
      <x:c r="C79" s="5"/>
      <x:c r="D79" s="5"/>
      <x:c r="E79" s="5"/>
      <x:c r="F79" s="5"/>
      <x:c r="G79" s="5"/>
      <x:c r="H79" s="5"/>
      <x:c r="I79" s="5"/>
      <x:c r="J79" s="5"/>
      <x:c r="K79" s="29"/>
      <x:c r="L79" s="29"/>
      <x:c r="M79" s="13"/>
      <x:c r="N79" s="5"/>
      <x:c r="O79" s="5"/>
      <x:c r="P79" s="5" t="str">
        <x:f>IF(B79="","",IF(K79="","",TODAY()-K79))</x:f>
      </x:c>
      <x:c r="Q79" s="5" t="str">
        <x:f>IF(B79="","",IF(L79="","",L79-TODAY()))</x:f>
      </x:c>
      <x:c r="R79" s="5" t="str">
        <x:f>IF(B79="","",IF(OR(L79="",J79="Won",J79="Lost"),"No",IF(L79&lt;=TODAY(),"Yes","No")))</x:f>
      </x:c>
    </x:row>
    <x:row r="80" ht="18" customHeight="1">
      <x:c r="A80" s="29"/>
      <x:c r="B80" s="5"/>
      <x:c r="C80" s="5"/>
      <x:c r="D80" s="5"/>
      <x:c r="E80" s="5"/>
      <x:c r="F80" s="5"/>
      <x:c r="G80" s="5"/>
      <x:c r="H80" s="5"/>
      <x:c r="I80" s="5"/>
      <x:c r="J80" s="5"/>
      <x:c r="K80" s="29"/>
      <x:c r="L80" s="29"/>
      <x:c r="M80" s="13"/>
      <x:c r="N80" s="5"/>
      <x:c r="O80" s="5"/>
      <x:c r="P80" s="5" t="str">
        <x:f>IF(B80="","",IF(K80="","",TODAY()-K80))</x:f>
      </x:c>
      <x:c r="Q80" s="5" t="str">
        <x:f>IF(B80="","",IF(L80="","",L80-TODAY()))</x:f>
      </x:c>
      <x:c r="R80" s="5" t="str">
        <x:f>IF(B80="","",IF(OR(L80="",J80="Won",J80="Lost"),"No",IF(L80&lt;=TODAY(),"Yes","No")))</x:f>
      </x:c>
    </x:row>
    <x:row r="81" ht="18" customHeight="1">
      <x:c r="A81" s="29"/>
      <x:c r="B81" s="5"/>
      <x:c r="C81" s="5"/>
      <x:c r="D81" s="5"/>
      <x:c r="E81" s="5"/>
      <x:c r="F81" s="5"/>
      <x:c r="G81" s="5"/>
      <x:c r="H81" s="5"/>
      <x:c r="I81" s="5"/>
      <x:c r="J81" s="5"/>
      <x:c r="K81" s="29"/>
      <x:c r="L81" s="29"/>
      <x:c r="M81" s="13"/>
      <x:c r="N81" s="5"/>
      <x:c r="O81" s="5"/>
      <x:c r="P81" s="5" t="str">
        <x:f>IF(B81="","",IF(K81="","",TODAY()-K81))</x:f>
      </x:c>
      <x:c r="Q81" s="5" t="str">
        <x:f>IF(B81="","",IF(L81="","",L81-TODAY()))</x:f>
      </x:c>
      <x:c r="R81" s="5" t="str">
        <x:f>IF(B81="","",IF(OR(L81="",J81="Won",J81="Lost"),"No",IF(L81&lt;=TODAY(),"Yes","No")))</x:f>
      </x:c>
    </x:row>
    <x:row r="82" ht="18" customHeight="1">
      <x:c r="A82" s="29"/>
      <x:c r="B82" s="5"/>
      <x:c r="C82" s="5"/>
      <x:c r="D82" s="5"/>
      <x:c r="E82" s="5"/>
      <x:c r="F82" s="5"/>
      <x:c r="G82" s="5"/>
      <x:c r="H82" s="5"/>
      <x:c r="I82" s="5"/>
      <x:c r="J82" s="5"/>
      <x:c r="K82" s="29"/>
      <x:c r="L82" s="29"/>
      <x:c r="M82" s="13"/>
      <x:c r="N82" s="5"/>
      <x:c r="O82" s="5"/>
      <x:c r="P82" s="5" t="str">
        <x:f>IF(B82="","",IF(K82="","",TODAY()-K82))</x:f>
      </x:c>
      <x:c r="Q82" s="5" t="str">
        <x:f>IF(B82="","",IF(L82="","",L82-TODAY()))</x:f>
      </x:c>
      <x:c r="R82" s="5" t="str">
        <x:f>IF(B82="","",IF(OR(L82="",J82="Won",J82="Lost"),"No",IF(L82&lt;=TODAY(),"Yes","No")))</x:f>
      </x:c>
    </x:row>
    <x:row r="83" ht="18" customHeight="1">
      <x:c r="A83" s="29"/>
      <x:c r="B83" s="5"/>
      <x:c r="C83" s="5"/>
      <x:c r="D83" s="5"/>
      <x:c r="E83" s="5"/>
      <x:c r="F83" s="5"/>
      <x:c r="G83" s="5"/>
      <x:c r="H83" s="5"/>
      <x:c r="I83" s="5"/>
      <x:c r="J83" s="5"/>
      <x:c r="K83" s="29"/>
      <x:c r="L83" s="29"/>
      <x:c r="M83" s="13"/>
      <x:c r="N83" s="5"/>
      <x:c r="O83" s="5"/>
      <x:c r="P83" s="5" t="str">
        <x:f>IF(B83="","",IF(K83="","",TODAY()-K83))</x:f>
      </x:c>
      <x:c r="Q83" s="5" t="str">
        <x:f>IF(B83="","",IF(L83="","",L83-TODAY()))</x:f>
      </x:c>
      <x:c r="R83" s="5" t="str">
        <x:f>IF(B83="","",IF(OR(L83="",J83="Won",J83="Lost"),"No",IF(L83&lt;=TODAY(),"Yes","No")))</x:f>
      </x:c>
    </x:row>
    <x:row r="84" ht="18" customHeight="1">
      <x:c r="A84" s="29"/>
      <x:c r="B84" s="5"/>
      <x:c r="C84" s="5"/>
      <x:c r="D84" s="5"/>
      <x:c r="E84" s="5"/>
      <x:c r="F84" s="5"/>
      <x:c r="G84" s="5"/>
      <x:c r="H84" s="5"/>
      <x:c r="I84" s="5"/>
      <x:c r="J84" s="5"/>
      <x:c r="K84" s="29"/>
      <x:c r="L84" s="29"/>
      <x:c r="M84" s="13"/>
      <x:c r="N84" s="5"/>
      <x:c r="O84" s="5"/>
      <x:c r="P84" s="5" t="str">
        <x:f>IF(B84="","",IF(K84="","",TODAY()-K84))</x:f>
      </x:c>
      <x:c r="Q84" s="5" t="str">
        <x:f>IF(B84="","",IF(L84="","",L84-TODAY()))</x:f>
      </x:c>
      <x:c r="R84" s="5" t="str">
        <x:f>IF(B84="","",IF(OR(L84="",J84="Won",J84="Lost"),"No",IF(L84&lt;=TODAY(),"Yes","No")))</x:f>
      </x:c>
    </x:row>
    <x:row r="85" ht="18" customHeight="1">
      <x:c r="A85" s="29"/>
      <x:c r="B85" s="5"/>
      <x:c r="C85" s="5"/>
      <x:c r="D85" s="5"/>
      <x:c r="E85" s="5"/>
      <x:c r="F85" s="5"/>
      <x:c r="G85" s="5"/>
      <x:c r="H85" s="5"/>
      <x:c r="I85" s="5"/>
      <x:c r="J85" s="5"/>
      <x:c r="K85" s="29"/>
      <x:c r="L85" s="29"/>
      <x:c r="M85" s="13"/>
      <x:c r="N85" s="5"/>
      <x:c r="O85" s="5"/>
      <x:c r="P85" s="5" t="str">
        <x:f>IF(B85="","",IF(K85="","",TODAY()-K85))</x:f>
      </x:c>
      <x:c r="Q85" s="5" t="str">
        <x:f>IF(B85="","",IF(L85="","",L85-TODAY()))</x:f>
      </x:c>
      <x:c r="R85" s="5" t="str">
        <x:f>IF(B85="","",IF(OR(L85="",J85="Won",J85="Lost"),"No",IF(L85&lt;=TODAY(),"Yes","No")))</x:f>
      </x:c>
    </x:row>
    <x:row r="86" ht="18" customHeight="1">
      <x:c r="A86" s="29"/>
      <x:c r="B86" s="5"/>
      <x:c r="C86" s="5"/>
      <x:c r="D86" s="5"/>
      <x:c r="E86" s="5"/>
      <x:c r="F86" s="5"/>
      <x:c r="G86" s="5"/>
      <x:c r="H86" s="5"/>
      <x:c r="I86" s="5"/>
      <x:c r="J86" s="5"/>
      <x:c r="K86" s="29"/>
      <x:c r="L86" s="29"/>
      <x:c r="M86" s="13"/>
      <x:c r="N86" s="5"/>
      <x:c r="O86" s="5"/>
      <x:c r="P86" s="5" t="str">
        <x:f>IF(B86="","",IF(K86="","",TODAY()-K86))</x:f>
      </x:c>
      <x:c r="Q86" s="5" t="str">
        <x:f>IF(B86="","",IF(L86="","",L86-TODAY()))</x:f>
      </x:c>
      <x:c r="R86" s="5" t="str">
        <x:f>IF(B86="","",IF(OR(L86="",J86="Won",J86="Lost"),"No",IF(L86&lt;=TODAY(),"Yes","No")))</x:f>
      </x:c>
    </x:row>
    <x:row r="87" ht="18" customHeight="1">
      <x:c r="A87" s="29"/>
      <x:c r="B87" s="5"/>
      <x:c r="C87" s="5"/>
      <x:c r="D87" s="5"/>
      <x:c r="E87" s="5"/>
      <x:c r="F87" s="5"/>
      <x:c r="G87" s="5"/>
      <x:c r="H87" s="5"/>
      <x:c r="I87" s="5"/>
      <x:c r="J87" s="5"/>
      <x:c r="K87" s="29"/>
      <x:c r="L87" s="29"/>
      <x:c r="M87" s="13"/>
      <x:c r="N87" s="5"/>
      <x:c r="O87" s="5"/>
      <x:c r="P87" s="5" t="str">
        <x:f>IF(B87="","",IF(K87="","",TODAY()-K87))</x:f>
      </x:c>
      <x:c r="Q87" s="5" t="str">
        <x:f>IF(B87="","",IF(L87="","",L87-TODAY()))</x:f>
      </x:c>
      <x:c r="R87" s="5" t="str">
        <x:f>IF(B87="","",IF(OR(L87="",J87="Won",J87="Lost"),"No",IF(L87&lt;=TODAY(),"Yes","No")))</x:f>
      </x:c>
    </x:row>
    <x:row r="88" ht="18" customHeight="1">
      <x:c r="A88" s="29"/>
      <x:c r="B88" s="5"/>
      <x:c r="C88" s="5"/>
      <x:c r="D88" s="5"/>
      <x:c r="E88" s="5"/>
      <x:c r="F88" s="5"/>
      <x:c r="G88" s="5"/>
      <x:c r="H88" s="5"/>
      <x:c r="I88" s="5"/>
      <x:c r="J88" s="5"/>
      <x:c r="K88" s="29"/>
      <x:c r="L88" s="29"/>
      <x:c r="M88" s="13"/>
      <x:c r="N88" s="5"/>
      <x:c r="O88" s="5"/>
      <x:c r="P88" s="5" t="str">
        <x:f>IF(B88="","",IF(K88="","",TODAY()-K88))</x:f>
      </x:c>
      <x:c r="Q88" s="5" t="str">
        <x:f>IF(B88="","",IF(L88="","",L88-TODAY()))</x:f>
      </x:c>
      <x:c r="R88" s="5" t="str">
        <x:f>IF(B88="","",IF(OR(L88="",J88="Won",J88="Lost"),"No",IF(L88&lt;=TODAY(),"Yes","No")))</x:f>
      </x:c>
    </x:row>
    <x:row r="89" ht="18" customHeight="1">
      <x:c r="A89" s="29"/>
      <x:c r="B89" s="5"/>
      <x:c r="C89" s="5"/>
      <x:c r="D89" s="5"/>
      <x:c r="E89" s="5"/>
      <x:c r="F89" s="5"/>
      <x:c r="G89" s="5"/>
      <x:c r="H89" s="5"/>
      <x:c r="I89" s="5"/>
      <x:c r="J89" s="5"/>
      <x:c r="K89" s="29"/>
      <x:c r="L89" s="29"/>
      <x:c r="M89" s="13"/>
      <x:c r="N89" s="5"/>
      <x:c r="O89" s="5"/>
      <x:c r="P89" s="5" t="str">
        <x:f>IF(B89="","",IF(K89="","",TODAY()-K89))</x:f>
      </x:c>
      <x:c r="Q89" s="5" t="str">
        <x:f>IF(B89="","",IF(L89="","",L89-TODAY()))</x:f>
      </x:c>
      <x:c r="R89" s="5" t="str">
        <x:f>IF(B89="","",IF(OR(L89="",J89="Won",J89="Lost"),"No",IF(L89&lt;=TODAY(),"Yes","No")))</x:f>
      </x:c>
    </x:row>
    <x:row r="90" ht="18" customHeight="1">
      <x:c r="A90" s="29"/>
      <x:c r="B90" s="5"/>
      <x:c r="C90" s="5"/>
      <x:c r="D90" s="5"/>
      <x:c r="E90" s="5"/>
      <x:c r="F90" s="5"/>
      <x:c r="G90" s="5"/>
      <x:c r="H90" s="5"/>
      <x:c r="I90" s="5"/>
      <x:c r="J90" s="5"/>
      <x:c r="K90" s="29"/>
      <x:c r="L90" s="29"/>
      <x:c r="M90" s="13"/>
      <x:c r="N90" s="5"/>
      <x:c r="O90" s="5"/>
      <x:c r="P90" s="5" t="str">
        <x:f>IF(B90="","",IF(K90="","",TODAY()-K90))</x:f>
      </x:c>
      <x:c r="Q90" s="5" t="str">
        <x:f>IF(B90="","",IF(L90="","",L90-TODAY()))</x:f>
      </x:c>
      <x:c r="R90" s="5" t="str">
        <x:f>IF(B90="","",IF(OR(L90="",J90="Won",J90="Lost"),"No",IF(L90&lt;=TODAY(),"Yes","No")))</x:f>
      </x:c>
    </x:row>
    <x:row r="91" ht="18" customHeight="1">
      <x:c r="A91" s="29"/>
      <x:c r="B91" s="5"/>
      <x:c r="C91" s="5"/>
      <x:c r="D91" s="5"/>
      <x:c r="E91" s="5"/>
      <x:c r="F91" s="5"/>
      <x:c r="G91" s="5"/>
      <x:c r="H91" s="5"/>
      <x:c r="I91" s="5"/>
      <x:c r="J91" s="5"/>
      <x:c r="K91" s="29"/>
      <x:c r="L91" s="29"/>
      <x:c r="M91" s="13"/>
      <x:c r="N91" s="5"/>
      <x:c r="O91" s="5"/>
      <x:c r="P91" s="5" t="str">
        <x:f>IF(B91="","",IF(K91="","",TODAY()-K91))</x:f>
      </x:c>
      <x:c r="Q91" s="5" t="str">
        <x:f>IF(B91="","",IF(L91="","",L91-TODAY()))</x:f>
      </x:c>
      <x:c r="R91" s="5" t="str">
        <x:f>IF(B91="","",IF(OR(L91="",J91="Won",J91="Lost"),"No",IF(L91&lt;=TODAY(),"Yes","No")))</x:f>
      </x:c>
    </x:row>
    <x:row r="92" ht="18" customHeight="1">
      <x:c r="A92" s="29"/>
      <x:c r="B92" s="5"/>
      <x:c r="C92" s="5"/>
      <x:c r="D92" s="5"/>
      <x:c r="E92" s="5"/>
      <x:c r="F92" s="5"/>
      <x:c r="G92" s="5"/>
      <x:c r="H92" s="5"/>
      <x:c r="I92" s="5"/>
      <x:c r="J92" s="5"/>
      <x:c r="K92" s="29"/>
      <x:c r="L92" s="29"/>
      <x:c r="M92" s="13"/>
      <x:c r="N92" s="5"/>
      <x:c r="O92" s="5"/>
      <x:c r="P92" s="5" t="str">
        <x:f>IF(B92="","",IF(K92="","",TODAY()-K92))</x:f>
      </x:c>
      <x:c r="Q92" s="5" t="str">
        <x:f>IF(B92="","",IF(L92="","",L92-TODAY()))</x:f>
      </x:c>
      <x:c r="R92" s="5" t="str">
        <x:f>IF(B92="","",IF(OR(L92="",J92="Won",J92="Lost"),"No",IF(L92&lt;=TODAY(),"Yes","No")))</x:f>
      </x:c>
    </x:row>
    <x:row r="93" ht="18" customHeight="1">
      <x:c r="A93" s="29"/>
      <x:c r="B93" s="5"/>
      <x:c r="C93" s="5"/>
      <x:c r="D93" s="5"/>
      <x:c r="E93" s="5"/>
      <x:c r="F93" s="5"/>
      <x:c r="G93" s="5"/>
      <x:c r="H93" s="5"/>
      <x:c r="I93" s="5"/>
      <x:c r="J93" s="5"/>
      <x:c r="K93" s="29"/>
      <x:c r="L93" s="29"/>
      <x:c r="M93" s="13"/>
      <x:c r="N93" s="5"/>
      <x:c r="O93" s="5"/>
      <x:c r="P93" s="5" t="str">
        <x:f>IF(B93="","",IF(K93="","",TODAY()-K93))</x:f>
      </x:c>
      <x:c r="Q93" s="5" t="str">
        <x:f>IF(B93="","",IF(L93="","",L93-TODAY()))</x:f>
      </x:c>
      <x:c r="R93" s="5" t="str">
        <x:f>IF(B93="","",IF(OR(L93="",J93="Won",J93="Lost"),"No",IF(L93&lt;=TODAY(),"Yes","No")))</x:f>
      </x:c>
    </x:row>
    <x:row r="94" ht="18" customHeight="1">
      <x:c r="A94" s="29"/>
      <x:c r="B94" s="5"/>
      <x:c r="C94" s="5"/>
      <x:c r="D94" s="5"/>
      <x:c r="E94" s="5"/>
      <x:c r="F94" s="5"/>
      <x:c r="G94" s="5"/>
      <x:c r="H94" s="5"/>
      <x:c r="I94" s="5"/>
      <x:c r="J94" s="5"/>
      <x:c r="K94" s="29"/>
      <x:c r="L94" s="29"/>
      <x:c r="M94" s="13"/>
      <x:c r="N94" s="5"/>
      <x:c r="O94" s="5"/>
      <x:c r="P94" s="5" t="str">
        <x:f>IF(B94="","",IF(K94="","",TODAY()-K94))</x:f>
      </x:c>
      <x:c r="Q94" s="5" t="str">
        <x:f>IF(B94="","",IF(L94="","",L94-TODAY()))</x:f>
      </x:c>
      <x:c r="R94" s="5" t="str">
        <x:f>IF(B94="","",IF(OR(L94="",J94="Won",J94="Lost"),"No",IF(L94&lt;=TODAY(),"Yes","No")))</x:f>
      </x:c>
    </x:row>
    <x:row r="95" ht="18" customHeight="1">
      <x:c r="A95" s="29"/>
      <x:c r="B95" s="5"/>
      <x:c r="C95" s="5"/>
      <x:c r="D95" s="5"/>
      <x:c r="E95" s="5"/>
      <x:c r="F95" s="5"/>
      <x:c r="G95" s="5"/>
      <x:c r="H95" s="5"/>
      <x:c r="I95" s="5"/>
      <x:c r="J95" s="5"/>
      <x:c r="K95" s="29"/>
      <x:c r="L95" s="29"/>
      <x:c r="M95" s="13"/>
      <x:c r="N95" s="5"/>
      <x:c r="O95" s="5"/>
      <x:c r="P95" s="5" t="str">
        <x:f>IF(B95="","",IF(K95="","",TODAY()-K95))</x:f>
      </x:c>
      <x:c r="Q95" s="5" t="str">
        <x:f>IF(B95="","",IF(L95="","",L95-TODAY()))</x:f>
      </x:c>
      <x:c r="R95" s="5" t="str">
        <x:f>IF(B95="","",IF(OR(L95="",J95="Won",J95="Lost"),"No",IF(L95&lt;=TODAY(),"Yes","No")))</x:f>
      </x:c>
    </x:row>
    <x:row r="96" ht="18" customHeight="1">
      <x:c r="A96" s="29"/>
      <x:c r="B96" s="5"/>
      <x:c r="C96" s="5"/>
      <x:c r="D96" s="5"/>
      <x:c r="E96" s="5"/>
      <x:c r="F96" s="5"/>
      <x:c r="G96" s="5"/>
      <x:c r="H96" s="5"/>
      <x:c r="I96" s="5"/>
      <x:c r="J96" s="5"/>
      <x:c r="K96" s="29"/>
      <x:c r="L96" s="29"/>
      <x:c r="M96" s="13"/>
      <x:c r="N96" s="5"/>
      <x:c r="O96" s="5"/>
      <x:c r="P96" s="5" t="str">
        <x:f>IF(B96="","",IF(K96="","",TODAY()-K96))</x:f>
      </x:c>
      <x:c r="Q96" s="5" t="str">
        <x:f>IF(B96="","",IF(L96="","",L96-TODAY()))</x:f>
      </x:c>
      <x:c r="R96" s="5" t="str">
        <x:f>IF(B96="","",IF(OR(L96="",J96="Won",J96="Lost"),"No",IF(L96&lt;=TODAY(),"Yes","No")))</x:f>
      </x:c>
    </x:row>
    <x:row r="97" ht="18" customHeight="1">
      <x:c r="A97" s="29"/>
      <x:c r="B97" s="5"/>
      <x:c r="C97" s="5"/>
      <x:c r="D97" s="5"/>
      <x:c r="E97" s="5"/>
      <x:c r="F97" s="5"/>
      <x:c r="G97" s="5"/>
      <x:c r="H97" s="5"/>
      <x:c r="I97" s="5"/>
      <x:c r="J97" s="5"/>
      <x:c r="K97" s="29"/>
      <x:c r="L97" s="29"/>
      <x:c r="M97" s="13"/>
      <x:c r="N97" s="5"/>
      <x:c r="O97" s="5"/>
      <x:c r="P97" s="5" t="str">
        <x:f>IF(B97="","",IF(K97="","",TODAY()-K97))</x:f>
      </x:c>
      <x:c r="Q97" s="5" t="str">
        <x:f>IF(B97="","",IF(L97="","",L97-TODAY()))</x:f>
      </x:c>
      <x:c r="R97" s="5" t="str">
        <x:f>IF(B97="","",IF(OR(L97="",J97="Won",J97="Lost"),"No",IF(L97&lt;=TODAY(),"Yes","No")))</x:f>
      </x:c>
    </x:row>
    <x:row r="98" ht="18" customHeight="1">
      <x:c r="A98" s="29"/>
      <x:c r="B98" s="5"/>
      <x:c r="C98" s="5"/>
      <x:c r="D98" s="5"/>
      <x:c r="E98" s="5"/>
      <x:c r="F98" s="5"/>
      <x:c r="G98" s="5"/>
      <x:c r="H98" s="5"/>
      <x:c r="I98" s="5"/>
      <x:c r="J98" s="5"/>
      <x:c r="K98" s="29"/>
      <x:c r="L98" s="29"/>
      <x:c r="M98" s="13"/>
      <x:c r="N98" s="5"/>
      <x:c r="O98" s="5"/>
      <x:c r="P98" s="5" t="str">
        <x:f>IF(B98="","",IF(K98="","",TODAY()-K98))</x:f>
      </x:c>
      <x:c r="Q98" s="5" t="str">
        <x:f>IF(B98="","",IF(L98="","",L98-TODAY()))</x:f>
      </x:c>
      <x:c r="R98" s="5" t="str">
        <x:f>IF(B98="","",IF(OR(L98="",J98="Won",J98="Lost"),"No",IF(L98&lt;=TODAY(),"Yes","No")))</x:f>
      </x:c>
    </x:row>
    <x:row r="99" ht="18" customHeight="1">
      <x:c r="A99" s="29"/>
      <x:c r="B99" s="5"/>
      <x:c r="C99" s="5"/>
      <x:c r="D99" s="5"/>
      <x:c r="E99" s="5"/>
      <x:c r="F99" s="5"/>
      <x:c r="G99" s="5"/>
      <x:c r="H99" s="5"/>
      <x:c r="I99" s="5"/>
      <x:c r="J99" s="5"/>
      <x:c r="K99" s="29"/>
      <x:c r="L99" s="29"/>
      <x:c r="M99" s="13"/>
      <x:c r="N99" s="5"/>
      <x:c r="O99" s="5"/>
      <x:c r="P99" s="5" t="str">
        <x:f>IF(B99="","",IF(K99="","",TODAY()-K99))</x:f>
      </x:c>
      <x:c r="Q99" s="5" t="str">
        <x:f>IF(B99="","",IF(L99="","",L99-TODAY()))</x:f>
      </x:c>
      <x:c r="R99" s="5" t="str">
        <x:f>IF(B99="","",IF(OR(L99="",J99="Won",J99="Lost"),"No",IF(L99&lt;=TODAY(),"Yes","No")))</x:f>
      </x:c>
    </x:row>
    <x:row r="100" ht="18" customHeight="1">
      <x:c r="A100" s="29"/>
      <x:c r="B100" s="5"/>
      <x:c r="C100" s="5"/>
      <x:c r="D100" s="5"/>
      <x:c r="E100" s="5"/>
      <x:c r="F100" s="5"/>
      <x:c r="G100" s="5"/>
      <x:c r="H100" s="5"/>
      <x:c r="I100" s="5"/>
      <x:c r="J100" s="5"/>
      <x:c r="K100" s="29"/>
      <x:c r="L100" s="29"/>
      <x:c r="M100" s="13"/>
      <x:c r="N100" s="5"/>
      <x:c r="O100" s="5"/>
      <x:c r="P100" s="5" t="str">
        <x:f>IF(B100="","",IF(K100="","",TODAY()-K100))</x:f>
      </x:c>
      <x:c r="Q100" s="5" t="str">
        <x:f>IF(B100="","",IF(L100="","",L100-TODAY()))</x:f>
      </x:c>
      <x:c r="R100" s="5" t="str">
        <x:f>IF(B100="","",IF(OR(L100="",J100="Won",J100="Lost"),"No",IF(L100&lt;=TODAY(),"Yes","No")))</x:f>
      </x:c>
    </x:row>
    <x:row r="101" ht="18" customHeight="1">
      <x:c r="A101" s="29"/>
      <x:c r="B101" s="5"/>
      <x:c r="C101" s="5"/>
      <x:c r="D101" s="5"/>
      <x:c r="E101" s="5"/>
      <x:c r="F101" s="5"/>
      <x:c r="G101" s="5"/>
      <x:c r="H101" s="5"/>
      <x:c r="I101" s="5"/>
      <x:c r="J101" s="5"/>
      <x:c r="K101" s="29"/>
      <x:c r="L101" s="29"/>
      <x:c r="M101" s="13"/>
      <x:c r="N101" s="5"/>
      <x:c r="O101" s="5"/>
      <x:c r="P101" s="5" t="str">
        <x:f>IF(B101="","",IF(K101="","",TODAY()-K101))</x:f>
      </x:c>
      <x:c r="Q101" s="5" t="str">
        <x:f>IF(B101="","",IF(L101="","",L101-TODAY()))</x:f>
      </x:c>
      <x:c r="R101" s="5" t="str">
        <x:f>IF(B101="","",IF(OR(L101="",J101="Won",J101="Lost"),"No",IF(L101&lt;=TODAY(),"Yes","No")))</x:f>
      </x:c>
    </x:row>
  </x:sheetData>
  <x:conditionalFormatting sqref="R2:R101">
    <x:cfRule type="expression" dxfId="0" priority="1">
      <x:formula>R2="Yes"</x:formula>
    </x:cfRule>
  </x:conditionalFormatting>
  <x:conditionalFormatting sqref="J2:J101">
    <x:cfRule type="expression" dxfId="1" priority="2">
      <x:formula>J2="Won"</x:formula>
    </x:cfRule>
    <x:cfRule type="expression" dxfId="2" priority="3">
      <x:formula>J2="Lost"</x:formula>
    </x:cfRule>
  </x:conditionalFormatting>
  <x:dataValidations count="9">
    <x:dataValidation allowBlank="1" sqref="F2:F101"/>
    <x:dataValidation allowBlank="1" sqref="G2:G101"/>
    <x:dataValidation allowBlank="1" sqref="H2:H101"/>
    <x:dataValidation allowBlank="1" sqref="I2:I101"/>
    <x:dataValidation allowBlank="1" sqref="J2:J101"/>
    <x:dataValidation type="date" operator="between" sqref="A2:A101">
      <x:formula1>DATE(2025,1,1)</x:formula1>
      <x:formula2>DATE(2030,12,31)</x:formula2>
    </x:dataValidation>
    <x:dataValidation type="date" operator="between" sqref="K2:L101">
      <x:formula1>DATE(2025,1,1)</x:formula1>
      <x:formula2>DATE(2030,12,31)</x:formula2>
    </x:dataValidation>
    <x:dataValidation type="whole" operator="between" sqref="N2:N101">
      <x:formula1>0</x:formula1>
      <x:formula2>100000</x:formula2>
    </x:dataValidation>
    <x:dataValidation type="whole" operator="between" sqref="O2:O101">
      <x:formula1>1</x:formula1>
      <x:formula2>15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f33be2bfc4249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2" hidden="0" customWidth="1"/>
    <x:col min="5" max="5" width="32" hidden="0" customWidth="1"/>
    <x:col min="6" max="6" width="20" hidden="0" customWidth="1"/>
    <x:col min="7" max="7" width="14" hidden="0" customWidth="1"/>
    <x:col min="8" max="8" width="16" hidden="0" customWidth="1"/>
    <x:col min="9" max="9" width="12" hidden="0" customWidth="1"/>
    <x:col min="10" max="10" width="14" hidden="0" customWidth="1"/>
    <x:col min="11" max="11" width="18" hidden="0" customWidth="1"/>
    <x:col min="12" max="12" width="24" hidden="0" customWidth="1"/>
  </x:cols>
  <x:sheetData>
    <x:row r="1" ht="17.08984375" hidden="0" customHeight="1">
      <x:c r="A1" s="19" t="str">
        <x:v>Week</x:v>
      </x:c>
      <x:c r="B1" s="19" t="str">
        <x:v>Theme</x:v>
      </x:c>
      <x:c r="C1" s="19" t="str">
        <x:v>Audience</x:v>
      </x:c>
      <x:c r="D1" s="19" t="str">
        <x:v>Hook</x:v>
      </x:c>
      <x:c r="E1" s="19" t="str">
        <x:v>Post Angle</x:v>
      </x:c>
      <x:c r="F1" s="19" t="str">
        <x:v>CTA</x:v>
      </x:c>
      <x:c r="G1" s="19" t="str">
        <x:v>Format</x:v>
      </x:c>
      <x:c r="H1" s="19" t="str">
        <x:v>Content Status</x:v>
      </x:c>
      <x:c r="I1" s="19" t="str">
        <x:v>Owner</x:v>
      </x:c>
      <x:c r="J1" s="20" t="str">
        <x:v>Publish Date</x:v>
      </x:c>
      <x:c r="K1" s="19" t="str">
        <x:v>Repurpose Asset</x:v>
      </x:c>
      <x:c r="L1" s="19" t="str">
        <x:v>Notes</x:v>
      </x:c>
    </x:row>
    <x:row r="2" ht="17.08984375" hidden="0" customHeight="1">
      <x:c r="A2" s="5" t="str">
        <x:v>Week 1</x:v>
      </x:c>
      <x:c r="B2" s="5" t="str">
        <x:v>Personal Branding</x:v>
      </x:c>
      <x:c r="C2" s="5" t="str">
        <x:v>Founders</x:v>
      </x:c>
      <x:c r="D2" s="5" t="str">
        <x:v>Most people treat LinkedIn like a resume.</x:v>
      </x:c>
      <x:c r="E2" s="5" t="str">
        <x:v>Teach how to build authority with proof of work.</x:v>
      </x:c>
      <x:c r="F2" s="5" t="str">
        <x:v>Comment BRAND for the checklist</x:v>
      </x:c>
      <x:c r="G2" s="5" t="str">
        <x:v>Text Post</x:v>
      </x:c>
      <x:c r="H2" s="5" t="str">
        <x:v>Draft</x:v>
      </x:c>
      <x:c r="I2" s="5" t="str">
        <x:v>Ajay</x:v>
      </x:c>
      <x:c r="J2" s="29" t="n">
        <x:v>46119</x:v>
      </x:c>
      <x:c r="K2" s="5" t="str">
        <x:v>Blog</x:v>
      </x:c>
      <x:c r="L2" s="5" t="str">
        <x:v>Promote checklist repo</x:v>
      </x:c>
    </x:row>
    <x:row r="3" ht="17.08984375" hidden="0" customHeight="1">
      <x:c r="A3" s="5" t="str">
        <x:v>Week 1</x:v>
      </x:c>
      <x:c r="B3" s="5" t="str">
        <x:v>Lead Generation</x:v>
      </x:c>
      <x:c r="C3" s="5" t="str">
        <x:v>Consultants</x:v>
      </x:c>
      <x:c r="D3" s="5" t="str">
        <x:v>You do not need more leads. You need a clearer offer.</x:v>
      </x:c>
      <x:c r="E3" s="5" t="str">
        <x:v>Show how offer clarity improves inbound demand.</x:v>
      </x:c>
      <x:c r="F3" s="5" t="str">
        <x:v>Save this for your next rewrite</x:v>
      </x:c>
      <x:c r="G3" s="5" t="str">
        <x:v>Carousel</x:v>
      </x:c>
      <x:c r="H3" s="5" t="str">
        <x:v>Scheduled</x:v>
      </x:c>
      <x:c r="I3" s="5" t="str">
        <x:v>Ajay</x:v>
      </x:c>
      <x:c r="J3" s="29" t="n">
        <x:v>46121</x:v>
      </x:c>
      <x:c r="K3" s="5" t="str">
        <x:v>Carousel</x:v>
      </x:c>
      <x:c r="L3" s="5" t="str">
        <x:v>Cross link to website</x:v>
      </x:c>
    </x:row>
    <x:row r="4" ht="17.08984375" hidden="0" customHeight="1">
      <x:c r="A4" s="5" t="str">
        <x:v>Week 2</x:v>
      </x:c>
      <x:c r="B4" s="5" t="str">
        <x:v>Automation</x:v>
      </x:c>
      <x:c r="C4" s="5" t="str">
        <x:v>Agencies</x:v>
      </x:c>
      <x:c r="D4" s="5" t="str">
        <x:v>Automation should support relationships, not replace them.</x:v>
      </x:c>
      <x:c r="E4" s="5" t="str">
        <x:v>Explain what to automate and what to keep human.</x:v>
      </x:c>
      <x:c r="F4" s="5" t="str">
        <x:v>Comment SYSTEM for the workflow</x:v>
      </x:c>
      <x:c r="G4" s="5" t="str">
        <x:v>Text Post</x:v>
      </x:c>
      <x:c r="H4" s="5" t="str">
        <x:v>Idea</x:v>
      </x:c>
      <x:c r="I4" s="5" t="str">
        <x:v>Ajay</x:v>
      </x:c>
      <x:c r="J4" s="29" t="n">
        <x:v>46126</x:v>
      </x:c>
      <x:c r="K4" s="5" t="str">
        <x:v>Email</x:v>
      </x:c>
      <x:c r="L4" s="5" t="str">
        <x:v>Use as repo promo post</x:v>
      </x:c>
    </x:row>
    <x:row r="5" ht="18" customHeight="1">
      <x:c r="A5" s="5"/>
      <x:c r="B5" s="5"/>
      <x:c r="C5" s="5"/>
      <x:c r="D5" s="5"/>
      <x:c r="E5" s="5"/>
      <x:c r="F5" s="5"/>
      <x:c r="G5" s="5"/>
      <x:c r="H5" s="5"/>
      <x:c r="I5" s="5"/>
      <x:c r="J5" s="29"/>
      <x:c r="K5" s="5"/>
      <x:c r="L5" s="5"/>
    </x:row>
    <x:row r="6" ht="18" customHeight="1">
      <x:c r="A6" s="5"/>
      <x:c r="B6" s="5"/>
      <x:c r="C6" s="5"/>
      <x:c r="D6" s="5"/>
      <x:c r="E6" s="5"/>
      <x:c r="F6" s="5"/>
      <x:c r="G6" s="5"/>
      <x:c r="H6" s="5"/>
      <x:c r="I6" s="5"/>
      <x:c r="J6" s="29"/>
      <x:c r="K6" s="5"/>
      <x:c r="L6" s="5"/>
    </x:row>
    <x:row r="7" ht="18" customHeight="1">
      <x:c r="A7" s="5"/>
      <x:c r="B7" s="5"/>
      <x:c r="C7" s="5"/>
      <x:c r="D7" s="5"/>
      <x:c r="E7" s="5"/>
      <x:c r="F7" s="5"/>
      <x:c r="G7" s="5"/>
      <x:c r="H7" s="5"/>
      <x:c r="I7" s="5"/>
      <x:c r="J7" s="29"/>
      <x:c r="K7" s="5"/>
      <x:c r="L7" s="5"/>
    </x:row>
    <x:row r="8" ht="18" customHeight="1">
      <x:c r="A8" s="5"/>
      <x:c r="B8" s="5"/>
      <x:c r="C8" s="5"/>
      <x:c r="D8" s="5"/>
      <x:c r="E8" s="5"/>
      <x:c r="F8" s="5"/>
      <x:c r="G8" s="5"/>
      <x:c r="H8" s="5"/>
      <x:c r="I8" s="5"/>
      <x:c r="J8" s="29"/>
      <x:c r="K8" s="5"/>
      <x:c r="L8" s="5"/>
    </x:row>
    <x:row r="9" ht="18" customHeight="1">
      <x:c r="A9" s="5"/>
      <x:c r="B9" s="5"/>
      <x:c r="C9" s="5"/>
      <x:c r="D9" s="5"/>
      <x:c r="E9" s="5"/>
      <x:c r="F9" s="5"/>
      <x:c r="G9" s="5"/>
      <x:c r="H9" s="5"/>
      <x:c r="I9" s="5"/>
      <x:c r="J9" s="29"/>
      <x:c r="K9" s="5"/>
      <x:c r="L9" s="5"/>
    </x:row>
    <x:row r="10" ht="18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29"/>
      <x:c r="K10" s="5"/>
      <x:c r="L10" s="5"/>
    </x:row>
    <x:row r="11" ht="18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29"/>
      <x:c r="K11" s="5"/>
      <x:c r="L11" s="5"/>
    </x:row>
    <x:row r="12" ht="18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29"/>
      <x:c r="K12" s="5"/>
      <x:c r="L12" s="5"/>
    </x:row>
    <x:row r="13" ht="18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29"/>
      <x:c r="K13" s="5"/>
      <x:c r="L13" s="5"/>
    </x:row>
    <x:row r="14" ht="18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29"/>
      <x:c r="K14" s="5"/>
      <x:c r="L14" s="5"/>
    </x:row>
    <x:row r="15" ht="18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29"/>
      <x:c r="K15" s="5"/>
      <x:c r="L15" s="5"/>
    </x:row>
    <x:row r="16" ht="18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29"/>
      <x:c r="K16" s="5"/>
      <x:c r="L16" s="5"/>
    </x:row>
    <x:row r="17" ht="18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29"/>
      <x:c r="K17" s="5"/>
      <x:c r="L17" s="5"/>
    </x:row>
    <x:row r="18" ht="18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29"/>
      <x:c r="K18" s="5"/>
      <x:c r="L18" s="5"/>
    </x:row>
    <x:row r="19" ht="18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29"/>
      <x:c r="K19" s="5"/>
      <x:c r="L19" s="5"/>
    </x:row>
    <x:row r="20" ht="18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29"/>
      <x:c r="K20" s="5"/>
      <x:c r="L20" s="5"/>
    </x:row>
    <x:row r="21" ht="18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29"/>
      <x:c r="K21" s="5"/>
      <x:c r="L21" s="5"/>
    </x:row>
    <x:row r="22" ht="18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29"/>
      <x:c r="K22" s="5"/>
      <x:c r="L22" s="5"/>
    </x:row>
    <x:row r="23" ht="18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29"/>
      <x:c r="K23" s="5"/>
      <x:c r="L23" s="5"/>
    </x:row>
    <x:row r="24" ht="18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29"/>
      <x:c r="K24" s="5"/>
      <x:c r="L24" s="5"/>
    </x:row>
    <x:row r="25" ht="18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29"/>
      <x:c r="K25" s="5"/>
      <x:c r="L25" s="5"/>
    </x:row>
    <x:row r="26" ht="18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29"/>
      <x:c r="K26" s="5"/>
      <x:c r="L26" s="5"/>
    </x:row>
    <x:row r="27" ht="18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29"/>
      <x:c r="K27" s="5"/>
      <x:c r="L27" s="5"/>
    </x:row>
    <x:row r="28" ht="18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29"/>
      <x:c r="K28" s="5"/>
      <x:c r="L28" s="5"/>
    </x:row>
    <x:row r="29" ht="18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29"/>
      <x:c r="K29" s="5"/>
      <x:c r="L29" s="5"/>
    </x:row>
    <x:row r="30" ht="18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29"/>
      <x:c r="K30" s="5"/>
      <x:c r="L30" s="5"/>
    </x:row>
    <x:row r="31" ht="18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29"/>
      <x:c r="K31" s="5"/>
      <x:c r="L31" s="5"/>
    </x:row>
    <x:row r="32" ht="18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29"/>
      <x:c r="K32" s="5"/>
      <x:c r="L32" s="5"/>
    </x:row>
    <x:row r="33" ht="18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29"/>
      <x:c r="K33" s="5"/>
      <x:c r="L33" s="5"/>
    </x:row>
    <x:row r="34" ht="18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29"/>
      <x:c r="K34" s="5"/>
      <x:c r="L34" s="5"/>
    </x:row>
    <x:row r="35" ht="18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29"/>
      <x:c r="K35" s="5"/>
      <x:c r="L35" s="5"/>
    </x:row>
    <x:row r="36" ht="18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29"/>
      <x:c r="K36" s="5"/>
      <x:c r="L36" s="5"/>
    </x:row>
    <x:row r="37" ht="18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29"/>
      <x:c r="K37" s="5"/>
      <x:c r="L37" s="5"/>
    </x:row>
    <x:row r="38" ht="18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29"/>
      <x:c r="K38" s="5"/>
      <x:c r="L38" s="5"/>
    </x:row>
    <x:row r="39" ht="18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29"/>
      <x:c r="K39" s="5"/>
      <x:c r="L39" s="5"/>
    </x:row>
    <x:row r="40" ht="18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29"/>
      <x:c r="K40" s="5"/>
      <x:c r="L40" s="5"/>
    </x:row>
    <x:row r="41" ht="18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29"/>
      <x:c r="K41" s="5"/>
      <x:c r="L41" s="5"/>
    </x:row>
    <x:row r="42" ht="18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29"/>
      <x:c r="K42" s="5"/>
      <x:c r="L42" s="5"/>
    </x:row>
    <x:row r="43" ht="18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29"/>
      <x:c r="K43" s="5"/>
      <x:c r="L43" s="5"/>
    </x:row>
    <x:row r="44" ht="18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29"/>
      <x:c r="K44" s="5"/>
      <x:c r="L44" s="5"/>
    </x:row>
    <x:row r="45" ht="18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29"/>
      <x:c r="K45" s="5"/>
      <x:c r="L45" s="5"/>
    </x:row>
    <x:row r="46" ht="18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29"/>
      <x:c r="K46" s="5"/>
      <x:c r="L46" s="5"/>
    </x:row>
    <x:row r="47" ht="18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29"/>
      <x:c r="K47" s="5"/>
      <x:c r="L47" s="5"/>
    </x:row>
    <x:row r="48" ht="18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29"/>
      <x:c r="K48" s="5"/>
      <x:c r="L48" s="5"/>
    </x:row>
    <x:row r="49" ht="18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29"/>
      <x:c r="K49" s="5"/>
      <x:c r="L49" s="5"/>
    </x:row>
    <x:row r="50" ht="18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29"/>
      <x:c r="K50" s="5"/>
      <x:c r="L50" s="5"/>
    </x:row>
    <x:row r="51" ht="18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29"/>
      <x:c r="K51" s="5"/>
      <x:c r="L51" s="5"/>
    </x:row>
    <x:row r="52" ht="18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29"/>
      <x:c r="K52" s="5"/>
      <x:c r="L52" s="5"/>
    </x:row>
    <x:row r="53" ht="18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29"/>
      <x:c r="K53" s="5"/>
      <x:c r="L53" s="5"/>
    </x:row>
    <x:row r="54" ht="18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29"/>
      <x:c r="K54" s="5"/>
      <x:c r="L54" s="5"/>
    </x:row>
    <x:row r="55" ht="18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29"/>
      <x:c r="K55" s="5"/>
      <x:c r="L55" s="5"/>
    </x:row>
    <x:row r="56" ht="18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29"/>
      <x:c r="K56" s="5"/>
      <x:c r="L56" s="5"/>
    </x:row>
    <x:row r="57" ht="18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29"/>
      <x:c r="K57" s="5"/>
      <x:c r="L57" s="5"/>
    </x:row>
    <x:row r="58" ht="18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29"/>
      <x:c r="K58" s="5"/>
      <x:c r="L58" s="5"/>
    </x:row>
    <x:row r="59" ht="18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29"/>
      <x:c r="K59" s="5"/>
      <x:c r="L59" s="5"/>
    </x:row>
    <x:row r="60" ht="18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29"/>
      <x:c r="K60" s="5"/>
      <x:c r="L60" s="5"/>
    </x:row>
    <x:row r="61" ht="18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29"/>
      <x:c r="K61" s="5"/>
      <x:c r="L61" s="5"/>
    </x:row>
    <x:row r="62" ht="18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29"/>
      <x:c r="K62" s="5"/>
      <x:c r="L62" s="5"/>
    </x:row>
    <x:row r="63" ht="18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29"/>
      <x:c r="K63" s="5"/>
      <x:c r="L63" s="5"/>
    </x:row>
    <x:row r="64" ht="18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29"/>
      <x:c r="K64" s="5"/>
      <x:c r="L64" s="5"/>
    </x:row>
    <x:row r="65" ht="18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29"/>
      <x:c r="K65" s="5"/>
      <x:c r="L65" s="5"/>
    </x:row>
    <x:row r="66" ht="18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29"/>
      <x:c r="K66" s="5"/>
      <x:c r="L66" s="5"/>
    </x:row>
    <x:row r="67" ht="18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29"/>
      <x:c r="K67" s="5"/>
      <x:c r="L67" s="5"/>
    </x:row>
    <x:row r="68" ht="18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29"/>
      <x:c r="K68" s="5"/>
      <x:c r="L68" s="5"/>
    </x:row>
    <x:row r="69" ht="18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29"/>
      <x:c r="K69" s="5"/>
      <x:c r="L69" s="5"/>
    </x:row>
    <x:row r="70" ht="18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29"/>
      <x:c r="K70" s="5"/>
      <x:c r="L70" s="5"/>
    </x:row>
    <x:row r="71" ht="18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29"/>
      <x:c r="K71" s="5"/>
      <x:c r="L71" s="5"/>
    </x:row>
    <x:row r="72" ht="18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29"/>
      <x:c r="K72" s="5"/>
      <x:c r="L72" s="5"/>
    </x:row>
    <x:row r="73" ht="18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29"/>
      <x:c r="K73" s="5"/>
      <x:c r="L73" s="5"/>
    </x:row>
    <x:row r="74" ht="18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29"/>
      <x:c r="K74" s="5"/>
      <x:c r="L74" s="5"/>
    </x:row>
    <x:row r="75" ht="18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29"/>
      <x:c r="K75" s="5"/>
      <x:c r="L75" s="5"/>
    </x:row>
    <x:row r="76" ht="18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29"/>
      <x:c r="K76" s="5"/>
      <x:c r="L76" s="5"/>
    </x:row>
    <x:row r="77" ht="18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29"/>
      <x:c r="K77" s="5"/>
      <x:c r="L77" s="5"/>
    </x:row>
    <x:row r="78" ht="18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29"/>
      <x:c r="K78" s="5"/>
      <x:c r="L78" s="5"/>
    </x:row>
    <x:row r="79" ht="18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29"/>
      <x:c r="K79" s="5"/>
      <x:c r="L79" s="5"/>
    </x:row>
    <x:row r="80" ht="18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29"/>
      <x:c r="K80" s="5"/>
      <x:c r="L80" s="5"/>
    </x:row>
    <x:row r="81" ht="18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29"/>
      <x:c r="K81" s="5"/>
      <x:c r="L81" s="5"/>
    </x:row>
    <x:row r="82" ht="18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29"/>
      <x:c r="K82" s="5"/>
      <x:c r="L82" s="5"/>
    </x:row>
    <x:row r="83" ht="18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29"/>
      <x:c r="K83" s="5"/>
      <x:c r="L83" s="5"/>
    </x:row>
    <x:row r="84" ht="18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29"/>
      <x:c r="K84" s="5"/>
      <x:c r="L84" s="5"/>
    </x:row>
    <x:row r="85" ht="18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29"/>
      <x:c r="K85" s="5"/>
      <x:c r="L85" s="5"/>
    </x:row>
    <x:row r="86" ht="18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29"/>
      <x:c r="K86" s="5"/>
      <x:c r="L86" s="5"/>
    </x:row>
    <x:row r="87" ht="18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29"/>
      <x:c r="K87" s="5"/>
      <x:c r="L87" s="5"/>
    </x:row>
    <x:row r="88" ht="18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29"/>
      <x:c r="K88" s="5"/>
      <x:c r="L88" s="5"/>
    </x:row>
    <x:row r="89" ht="18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29"/>
      <x:c r="K89" s="5"/>
      <x:c r="L89" s="5"/>
    </x:row>
    <x:row r="90" ht="18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29"/>
      <x:c r="K90" s="5"/>
      <x:c r="L90" s="5"/>
    </x:row>
    <x:row r="91" ht="18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29"/>
      <x:c r="K91" s="5"/>
      <x:c r="L91" s="5"/>
    </x:row>
    <x:row r="92" ht="18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29"/>
      <x:c r="K92" s="5"/>
      <x:c r="L92" s="5"/>
    </x:row>
    <x:row r="93" ht="18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29"/>
      <x:c r="K93" s="5"/>
      <x:c r="L93" s="5"/>
    </x:row>
    <x:row r="94" ht="18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29"/>
      <x:c r="K94" s="5"/>
      <x:c r="L94" s="5"/>
    </x:row>
    <x:row r="95" ht="18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29"/>
      <x:c r="K95" s="5"/>
      <x:c r="L95" s="5"/>
    </x:row>
    <x:row r="96" ht="18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29"/>
      <x:c r="K96" s="5"/>
      <x:c r="L96" s="5"/>
    </x:row>
    <x:row r="97" ht="18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29"/>
      <x:c r="K97" s="5"/>
      <x:c r="L97" s="5"/>
    </x:row>
    <x:row r="98" ht="18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29"/>
      <x:c r="K98" s="5"/>
      <x:c r="L98" s="5"/>
    </x:row>
    <x:row r="99" ht="18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29"/>
      <x:c r="K99" s="5"/>
      <x:c r="L99" s="5"/>
    </x:row>
    <x:row r="100" ht="18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29"/>
      <x:c r="K100" s="5"/>
      <x:c r="L100" s="5"/>
    </x:row>
    <x:row r="101" ht="18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29"/>
      <x:c r="K101" s="5"/>
      <x:c r="L101" s="5"/>
    </x:row>
  </x:sheetData>
  <x:dataValidations count="3">
    <x:dataValidation allowBlank="1" sqref="G2:G101"/>
    <x:dataValidation allowBlank="1" sqref="H2:H101"/>
    <x:dataValidation type="date" operator="between" sqref="J2:J101">
      <x:formula1>DATE(2025,1,1)</x:formula1>
      <x:formula2>DATE(2030,12,31)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0865c92e49948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</x:cols>
  <x:sheetData>
    <x:row r="1">
      <x:c r="A1" s="4" t="str">
        <x:v>Relationship Stage</x:v>
      </x:c>
      <x:c r="B1" s="4" t="str">
        <x:v>Priority</x:v>
      </x:c>
      <x:c r="C1" s="4" t="str">
        <x:v>Status</x:v>
      </x:c>
      <x:c r="D1" s="4" t="str">
        <x:v>Source</x:v>
      </x:c>
      <x:c r="E1" s="4" t="str">
        <x:v>Offer Interest</x:v>
      </x:c>
      <x:c r="F1" s="4" t="str">
        <x:v>Content Status</x:v>
      </x:c>
      <x:c r="G1" s="4" t="str">
        <x:v>Format</x:v>
      </x:c>
    </x:row>
    <x:row r="2">
      <x:c r="A2" s="5" t="str">
        <x:v>New</x:v>
      </x:c>
      <x:c r="B2" s="5" t="str">
        <x:v>High</x:v>
      </x:c>
      <x:c r="C2" s="5" t="str">
        <x:v>New</x:v>
      </x:c>
      <x:c r="D2" s="5" t="str">
        <x:v>Post Comment</x:v>
      </x:c>
      <x:c r="E2" s="5" t="str">
        <x:v>Profile Audit</x:v>
      </x:c>
      <x:c r="F2" s="5" t="str">
        <x:v>Idea</x:v>
      </x:c>
      <x:c r="G2" s="5" t="str">
        <x:v>Text Post</x:v>
      </x:c>
    </x:row>
    <x:row r="3">
      <x:c r="A3" s="5" t="str">
        <x:v>Connected</x:v>
      </x:c>
      <x:c r="B3" s="5" t="str">
        <x:v>Medium</x:v>
      </x:c>
      <x:c r="C3" s="5" t="str">
        <x:v>Contacted</x:v>
      </x:c>
      <x:c r="D3" s="5" t="str">
        <x:v>DM</x:v>
      </x:c>
      <x:c r="E3" s="5" t="str">
        <x:v>Content System</x:v>
      </x:c>
      <x:c r="F3" s="5" t="str">
        <x:v>Draft</x:v>
      </x:c>
      <x:c r="G3" s="5" t="str">
        <x:v>Carousel</x:v>
      </x:c>
    </x:row>
    <x:row r="4">
      <x:c r="A4" s="5" t="str">
        <x:v>Conversation</x:v>
      </x:c>
      <x:c r="B4" s="5" t="str">
        <x:v>Low</x:v>
      </x:c>
      <x:c r="C4" s="5" t="str">
        <x:v>Qualified</x:v>
      </x:c>
      <x:c r="D4" s="5" t="str">
        <x:v>Inbound Form</x:v>
      </x:c>
      <x:c r="E4" s="5" t="str">
        <x:v>Consultation</x:v>
      </x:c>
      <x:c r="F4" s="5" t="str">
        <x:v>Scheduled</x:v>
      </x:c>
      <x:c r="G4" s="5" t="str">
        <x:v>Document Post</x:v>
      </x:c>
    </x:row>
    <x:row r="5">
      <x:c r="A5" s="5" t="str">
        <x:v>Discovery Call</x:v>
      </x:c>
      <x:c r="B5" s="5" t="str"/>
      <x:c r="C5" s="5" t="str">
        <x:v>Proposal Sent</x:v>
      </x:c>
      <x:c r="D5" s="5" t="str">
        <x:v>Referral</x:v>
      </x:c>
      <x:c r="E5" s="5" t="str">
        <x:v>Workshop</x:v>
      </x:c>
      <x:c r="F5" s="5" t="str">
        <x:v>Published</x:v>
      </x:c>
      <x:c r="G5" s="5" t="str">
        <x:v>Poll</x:v>
      </x:c>
    </x:row>
    <x:row r="6">
      <x:c r="A6" s="5" t="str">
        <x:v>Proposal</x:v>
      </x:c>
      <x:c r="B6" s="5" t="str"/>
      <x:c r="C6" s="5" t="str">
        <x:v>Won</x:v>
      </x:c>
      <x:c r="D6" s="5" t="str">
        <x:v>Website</x:v>
      </x:c>
      <x:c r="E6" s="5" t="str">
        <x:v>Retainer</x:v>
      </x:c>
      <x:c r="F6" s="5" t="str">
        <x:v>Repurpose</x:v>
      </x:c>
      <x:c r="G6" s="5" t="str">
        <x:v>Video</x:v>
      </x:c>
    </x:row>
    <x:row r="7">
      <x:c r="A7" s="5" t="str">
        <x:v>Negotiation</x:v>
      </x:c>
      <x:c r="B7" s="5" t="str"/>
      <x:c r="C7" s="5" t="str">
        <x:v>Lost</x:v>
      </x:c>
      <x:c r="D7" s="5" t="str">
        <x:v>Event</x:v>
      </x:c>
      <x:c r="E7" s="5" t="str">
        <x:v>Template</x:v>
      </x:c>
      <x:c r="F7" s="5" t="str"/>
      <x:c r="G7" s="5" t="str"/>
    </x:row>
    <x:row r="8">
      <x:c r="A8" s="5" t="str">
        <x:v>Client</x:v>
      </x:c>
      <x:c r="B8" s="5" t="str"/>
      <x:c r="C8" s="5" t="str">
        <x:v>Nurture</x:v>
      </x:c>
      <x:c r="D8" s="5" t="str">
        <x:v>Manual Outreach</x:v>
      </x:c>
      <x:c r="E8" s="5" t="str">
        <x:v>Checklist</x:v>
      </x:c>
      <x:c r="F8" s="5" t="str"/>
      <x:c r="G8" s="5" t="str"/>
    </x:row>
    <x:row r="9">
      <x:c r="A9" s="5" t="str"/>
      <x:c r="B9" s="5" t="str"/>
      <x:c r="C9" s="5" t="str">
        <x:v>Dormant</x:v>
      </x:c>
      <x:c r="D9" s="5" t="str">
        <x:v>Other</x:v>
      </x:c>
      <x:c r="E9" s="5" t="str">
        <x:v>Other</x:v>
      </x:c>
      <x:c r="F9" s="5" t="str"/>
      <x:c r="G9" s="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6" hidden="0" customWidth="1"/>
    <x:col min="4" max="4" width="18" hidden="0" customWidth="1"/>
    <x:col min="5" max="5" width="14" hidden="0" customWidth="1"/>
    <x:col min="6" max="6" width="8" hidden="0" customWidth="1"/>
    <x:col min="7" max="7" width="18" hidden="0" customWidth="1"/>
    <x:col min="8" max="8" width="14" hidden="0" customWidth="1"/>
  </x:cols>
  <x:sheetData>
    <x:row r="1">
      <x:c r="A1" s="23" t="str">
        <x:v>LinkedIn Automation Workflow Dashboard</x:v>
      </x:c>
      <x:c r="B1" s="23"/>
      <x:c r="C1" s="23"/>
      <x:c r="D1" s="23"/>
      <x:c r="E1" s="23"/>
      <x:c r="F1" s="23"/>
      <x:c r="G1" s="23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4">
      <x:c r="A4" s="26" t="str">
        <x:v>Metric</x:v>
      </x:c>
      <x:c r="B4" s="26" t="str">
        <x:v>Value</x:v>
      </x:c>
      <x:c r="D4" s="26" t="str">
        <x:v>Pipeline Snapshot</x:v>
      </x:c>
      <x:c r="E4" s="26" t="str">
        <x:v>Count</x:v>
      </x:c>
      <x:c r="G4" s="26" t="str">
        <x:v>Content KPI</x:v>
      </x:c>
      <x:c r="H4" s="26" t="str">
        <x:v>Value</x:v>
      </x:c>
    </x:row>
    <x:row r="5">
      <x:c r="A5" s="5" t="str">
        <x:v>Total Leads</x:v>
      </x:c>
      <x:c r="B5" s="28" t="n">
        <x:f>COUNTA('Lead Tracker'!B2:B101)</x:f>
        <x:v>5</x:v>
      </x:c>
      <x:c r="D5" s="5" t="str">
        <x:v>New</x:v>
      </x:c>
      <x:c r="E5" s="28" t="n">
        <x:f>COUNTIF('Lead Tracker'!H2:H101,"New")</x:f>
        <x:v>1</x:v>
      </x:c>
      <x:c r="G5" s="5" t="str">
        <x:v>Planned Posts</x:v>
      </x:c>
      <x:c r="H5" s="28" t="n">
        <x:f>COUNTA('Content Pipeline'!B2:B101)</x:f>
        <x:v>3</x:v>
      </x:c>
    </x:row>
    <x:row r="6">
      <x:c r="A6" s="5" t="str">
        <x:v>Qualified Leads</x:v>
      </x:c>
      <x:c r="B6" s="28" t="n">
        <x:f>COUNTIF('Lead Tracker'!J2:J101,"Qualified")+COUNTIF('Lead Tracker'!J2:J101,"Proposal Sent")+COUNTIF('Lead Tracker'!J2:J101,"Won")</x:f>
        <x:v>2</x:v>
      </x:c>
      <x:c r="D6" s="5" t="str">
        <x:v>Connected</x:v>
      </x:c>
      <x:c r="E6" s="28" t="n">
        <x:f>COUNTIF('Lead Tracker'!H2:H101,"Connected")</x:f>
        <x:v>1</x:v>
      </x:c>
      <x:c r="G6" s="5" t="str">
        <x:v>Scheduled Posts</x:v>
      </x:c>
      <x:c r="H6" s="28" t="n">
        <x:f>COUNTIF('Content Pipeline'!H2:H101,"Scheduled")</x:f>
        <x:v>1</x:v>
      </x:c>
    </x:row>
    <x:row r="7">
      <x:c r="A7" s="5" t="str">
        <x:v>Won Deals</x:v>
      </x:c>
      <x:c r="B7" s="28" t="n">
        <x:f>COUNTIF('Lead Tracker'!J2:J101,"Won")</x:f>
        <x:v>0</x:v>
      </x:c>
      <x:c r="D7" s="5" t="str">
        <x:v>Conversation</x:v>
      </x:c>
      <x:c r="E7" s="28" t="n">
        <x:f>COUNTIF('Lead Tracker'!H2:H101,"Conversation")</x:f>
        <x:v>1</x:v>
      </x:c>
      <x:c r="G7" s="5" t="str">
        <x:v>Published Posts</x:v>
      </x:c>
      <x:c r="H7" s="28" t="n">
        <x:f>COUNTIF('Content Pipeline'!H2:H101,"Published")</x:f>
        <x:v>0</x:v>
      </x:c>
    </x:row>
    <x:row r="8">
      <x:c r="A8" s="5" t="str">
        <x:v>Follow Ups Due</x:v>
      </x:c>
      <x:c r="B8" s="28" t="n">
        <x:f>COUNTIF('Lead Tracker'!R2:R101,"Yes")</x:f>
        <x:v>1</x:v>
      </x:c>
      <x:c r="D8" s="5" t="str">
        <x:v>Discovery Call</x:v>
      </x:c>
      <x:c r="E8" s="28" t="n">
        <x:f>COUNTIF('Lead Tracker'!H2:H101,"Discovery Call")</x:f>
        <x:v>1</x:v>
      </x:c>
      <x:c r="G8" s="5" t="str">
        <x:v>Repurpose Queue</x:v>
      </x:c>
      <x:c r="H8" s="28" t="n">
        <x:f>COUNTIF('Content Pipeline'!H2:H101,"Repurpose")</x:f>
        <x:v>0</x:v>
      </x:c>
    </x:row>
    <x:row r="9">
      <x:c r="D9" s="5" t="str">
        <x:v>Client</x:v>
      </x:c>
      <x:c r="E9" s="28" t="n">
        <x:f>COUNTIF('Lead Tracker'!H2:H101,"Client")</x:f>
        <x:v>0</x:v>
      </x:c>
    </x:row>
    <x:row r="11">
      <x:c r="A11" s="26" t="str">
        <x:v>Quick Guide</x:v>
      </x:c>
      <x:c r="B11" s="26" t="str"/>
      <x:c r="C11" t="str"/>
      <x:c r="D11" t="str"/>
      <x:c r="E11" t="str"/>
      <x:c r="F11" t="str"/>
    </x:row>
    <x:row r="12">
      <x:c r="A12" s="5" t="str">
        <x:v>1</x:v>
      </x:c>
      <x:c r="B12" s="5" t="str">
        <x:v>Update leads daily</x:v>
      </x:c>
      <x:c r="C12" t="str"/>
      <x:c r="D12" t="str"/>
      <x:c r="E12" t="str"/>
      <x:c r="F12" t="str"/>
    </x:row>
    <x:row r="13">
      <x:c r="A13" s="5" t="str">
        <x:v>2</x:v>
      </x:c>
      <x:c r="B13" s="5" t="str">
        <x:v>Set next follow up date for every active lead</x:v>
      </x:c>
      <x:c r="C13" t="str"/>
      <x:c r="D13" t="str"/>
      <x:c r="E13" t="str"/>
      <x:c r="F13" t="str"/>
    </x:row>
    <x:row r="14">
      <x:c r="A14" s="5" t="str">
        <x:v>3</x:v>
      </x:c>
      <x:c r="B14" s="5" t="str">
        <x:v>Use lead score to decide priority</x:v>
      </x:c>
      <x:c r="C14" t="str"/>
      <x:c r="D14" t="str"/>
      <x:c r="E14" t="str"/>
      <x:c r="F14" t="str"/>
    </x:row>
    <x:row r="15">
      <x:c r="A15" s="5" t="str">
        <x:v>4</x:v>
      </x:c>
      <x:c r="B15" s="5" t="str">
        <x:v>Keep content ideas and publishing in one place</x:v>
      </x:c>
      <x:c r="C15" t="str"/>
      <x:c r="D15" t="str"/>
      <x:c r="E15" t="str"/>
      <x:c r="F15" t="str"/>
    </x:row>
    <x:row r="16">
      <x:c r="A16" s="5" t="str">
        <x:v>5</x:v>
      </x:c>
      <x:c r="B16" s="5" t="str">
        <x:v>Review dashboard once a week</x:v>
      </x:c>
      <x:c r="C16" t="str"/>
      <x:c r="D16" t="str"/>
      <x:c r="E16" t="str"/>
      <x:c r="F16" t="str"/>
    </x:row>
  </x:sheetData>
  <x:mergeCells>
    <x:mergeCell ref="A1:H2"/>
  </x:mergeCells>
  <x:pageMargins left="0.7" right="0.7" top="0.75" bottom="0.75" header="0.3" footer="0.3"/>
</x:worksheet>
</file>